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ygu\source\repos\E9XSim\docs\"/>
    </mc:Choice>
  </mc:AlternateContent>
  <xr:revisionPtr revIDLastSave="0" documentId="13_ncr:1_{4E589194-0DCF-4BE0-B6DE-72F9CB94980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Base CIC Features" sheetId="1" r:id="rId1"/>
    <sheet name="E9XSim CIC Targ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7" i="2" l="1"/>
  <c r="B116" i="2"/>
  <c r="B115" i="2"/>
  <c r="B114" i="2"/>
  <c r="B113" i="2"/>
  <c r="B112" i="2"/>
  <c r="B111" i="2"/>
  <c r="B93" i="1"/>
  <c r="B92" i="1"/>
  <c r="B91" i="1"/>
  <c r="B90" i="1"/>
  <c r="B89" i="1"/>
  <c r="B88" i="1"/>
</calcChain>
</file>

<file path=xl/sharedStrings.xml><?xml version="1.0" encoding="utf-8"?>
<sst xmlns="http://schemas.openxmlformats.org/spreadsheetml/2006/main" count="1299" uniqueCount="623">
  <si>
    <t>BMW E9X CIC — Base Feature Inventory</t>
  </si>
  <si>
    <t>Feature inventory derived primarily from the 2009 E9X iDrive/CIC owner's manual. Optional/equipment-dependent items are marked as such. Necessity is a proposed score for a modern replacement, not a claim about OEM importance.</t>
  </si>
  <si>
    <t>Necessity scale: 0 = intentionally omit / obsolete, 1 = nice-to-have, 2 = low priority, 3 = useful, 4 = important, 5 = core / must-have. Values are intentionally editable.</t>
  </si>
  <si>
    <t>Category</t>
  </si>
  <si>
    <t>OEM CIC Feature</t>
  </si>
  <si>
    <t>What it does</t>
  </si>
  <si>
    <t>Availability</t>
  </si>
  <si>
    <t>Necessity (0–5)</t>
  </si>
  <si>
    <t>Suggested disposition</t>
  </si>
  <si>
    <t>Primary hardware / software impact</t>
  </si>
  <si>
    <t>Source URL</t>
  </si>
  <si>
    <t>UI / Control</t>
  </si>
  <si>
    <t>Main iDrive menu</t>
  </si>
  <si>
    <t>Linear list-based main menu with major CIC domains such as CD/Multimedia, Radio, Telephone, Contacts, BMW Assist/Services, Navigation, Vehicle Info and Settings.</t>
  </si>
  <si>
    <t>Core</t>
  </si>
  <si>
    <t>Modernize</t>
  </si>
  <si>
    <t>GPU/display; controller input</t>
  </si>
  <si>
    <t>https://manuals.plus/m/216d6da701fd20328e2a84105875728c917fe44a08936337354dc16dc0e37f1c</t>
  </si>
  <si>
    <t>Rotary controller navigation</t>
  </si>
  <si>
    <t>Turn controller to move through lists and adjust values.</t>
  </si>
  <si>
    <t>Keep</t>
  </si>
  <si>
    <t>Input decoding; CAN</t>
  </si>
  <si>
    <t>Controller press / select</t>
  </si>
  <si>
    <t>Press controller to select highlighted items and execute actions.</t>
  </si>
  <si>
    <t>Controller 4-way tilt</t>
  </si>
  <si>
    <t>Move controller left/right/up/down for panel navigation and directional control.</t>
  </si>
  <si>
    <t>MENU hard key</t>
  </si>
  <si>
    <t>Returns directly to the main menu.</t>
  </si>
  <si>
    <t>BACK hard key</t>
  </si>
  <si>
    <t>Returns to the previous menu/panel.</t>
  </si>
  <si>
    <t>OPTION hard key</t>
  </si>
  <si>
    <t>Opens the context-sensitive Options menu for the current screen.</t>
  </si>
  <si>
    <t>RADIO / CD / NAV / TEL shortcut keys</t>
  </si>
  <si>
    <t>Direct hardware shortcuts into major functions.</t>
  </si>
  <si>
    <t>Keep / remap</t>
  </si>
  <si>
    <t>Steering-wheel controls</t>
  </si>
  <si>
    <t>Station/track change, phone, volume and voice-related actions can be operated from steering-wheel controls.</t>
  </si>
  <si>
    <t>Option-dependent</t>
  </si>
  <si>
    <t>CAN; audio/input</t>
  </si>
  <si>
    <t>Overlapping panel navigation</t>
  </si>
  <si>
    <t>Submenus open on panels and the controller moves between panels.</t>
  </si>
  <si>
    <t>Keep theme</t>
  </si>
  <si>
    <t>GPU/UI</t>
  </si>
  <si>
    <t>Context status bar</t>
  </si>
  <si>
    <t>Shows time, phone/network state, entertainment and other status symbols.</t>
  </si>
  <si>
    <t>Split screen</t>
  </si>
  <si>
    <t>Professional navigation can keep secondary information visible at the right side while other menus change.</t>
  </si>
  <si>
    <t>Navigation</t>
  </si>
  <si>
    <t>GPU/display</t>
  </si>
  <si>
    <t>Text / number entry</t>
  </si>
  <si>
    <t>Controller-based character entry with comparison/autocomplete behavior.</t>
  </si>
  <si>
    <t>UI; optional touch</t>
  </si>
  <si>
    <t>Programmable memory keys</t>
  </si>
  <si>
    <t>Dashboard keys can store radio stations, navigation destinations, phone numbers and menu entry points.</t>
  </si>
  <si>
    <t>Keep if practical</t>
  </si>
  <si>
    <t>CAN/input; persistent storage</t>
  </si>
  <si>
    <t>Voice activation</t>
  </si>
  <si>
    <t>Vehicle functions and menu items can be operated by spoken commands using steering-wheel voice input.</t>
  </si>
  <si>
    <t>Replace</t>
  </si>
  <si>
    <t>Microphone; CPU/audio</t>
  </si>
  <si>
    <t>Personal Profile / remote-key preferences</t>
  </si>
  <si>
    <t>Many settings are associated with the remote control currently in use.</t>
  </si>
  <si>
    <t>Vehicle feature</t>
  </si>
  <si>
    <t>Keep compatibility</t>
  </si>
  <si>
    <t>CAN; persistent settings</t>
  </si>
  <si>
    <t>Display / System</t>
  </si>
  <si>
    <t>Professional CIC display output</t>
  </si>
  <si>
    <t>OEM Professional CIC drives the wide central CID and presents the full UI.</t>
  </si>
  <si>
    <t>Replace hardware</t>
  </si>
  <si>
    <t>Display controller/GPU</t>
  </si>
  <si>
    <t>Day/night display behavior</t>
  </si>
  <si>
    <t>Navigation and display presentation adapt to vehicle lighting/day-night use.</t>
  </si>
  <si>
    <t>Ambient/light state; GPU</t>
  </si>
  <si>
    <t>Control-display settings</t>
  </si>
  <si>
    <t>Display-related settings are exposed through Settings.</t>
  </si>
  <si>
    <t>GPU/display; CAN settings</t>
  </si>
  <si>
    <t>Audio / Entertainment</t>
  </si>
  <si>
    <t>Entertainment power / master volume</t>
  </si>
  <si>
    <t>Entertainment can be switched on/off and volume adjusted from the head unit.</t>
  </si>
  <si>
    <t>Audio output / DSP integration</t>
  </si>
  <si>
    <t>FM radio</t>
  </si>
  <si>
    <t>FM tuner and station selection.</t>
  </si>
  <si>
    <t>RF tuner or external tuner</t>
  </si>
  <si>
    <t>AM radio</t>
  </si>
  <si>
    <t>AM tuner and station selection.</t>
  </si>
  <si>
    <t>HD Radio</t>
  </si>
  <si>
    <t>Digital terrestrial radio where equipped.</t>
  </si>
  <si>
    <t>Optional</t>
  </si>
  <si>
    <t>RF tuner</t>
  </si>
  <si>
    <t>https://manuals.plus/m/05c772ac8a5a6a786145dd4b56fd2f66babcb0e1fbd0448bbfc09b9dc05bf079</t>
  </si>
  <si>
    <t>Satellite radio</t>
  </si>
  <si>
    <t>Satellite radio subscription/channel support where equipped.</t>
  </si>
  <si>
    <t>Optional / drop</t>
  </si>
  <si>
    <t>Satellite tuner/service</t>
  </si>
  <si>
    <t>RDS station data</t>
  </si>
  <si>
    <t>Radio Data System information for compatible FM broadcasts.</t>
  </si>
  <si>
    <t>Option/market dependent</t>
  </si>
  <si>
    <t>Keep if FM retained</t>
  </si>
  <si>
    <t>RF tuner / metadata</t>
  </si>
  <si>
    <t>Radio presets / stored stations</t>
  </si>
  <si>
    <t>Stations can be stored and recalled, including via programmable memory keys.</t>
  </si>
  <si>
    <t>Persistent storage</t>
  </si>
  <si>
    <t>CD audio playback</t>
  </si>
  <si>
    <t>Single-disc optical audio playback through CIC drive.</t>
  </si>
  <si>
    <t>Core on period hardware</t>
  </si>
  <si>
    <t>Drop</t>
  </si>
  <si>
    <t>Optical drive</t>
  </si>
  <si>
    <t>DVD / video playback</t>
  </si>
  <si>
    <t>DVD media support depending equipment/market and vehicle state.</t>
  </si>
  <si>
    <t>Optical drive/video decoder</t>
  </si>
  <si>
    <t>CD changer integration</t>
  </si>
  <si>
    <t>Control of optional CD changer.</t>
  </si>
  <si>
    <t>MOST/legacy audio</t>
  </si>
  <si>
    <t>HDD music collection</t>
  </si>
  <si>
    <t>Imports and stores music in the vehicle, with search, Top 50, album management and playback.</t>
  </si>
  <si>
    <t>Core on CIC Professional</t>
  </si>
  <si>
    <t>Replace with local media library</t>
  </si>
  <si>
    <t>Storage; media indexing</t>
  </si>
  <si>
    <t>Music collection USB backup/restore</t>
  </si>
  <si>
    <t>Back up or restore the onboard music collection through USB.</t>
  </si>
  <si>
    <t>Core on music collection</t>
  </si>
  <si>
    <t>Replace with normal file backup</t>
  </si>
  <si>
    <t>USB/storage</t>
  </si>
  <si>
    <t>AUX analog input</t>
  </si>
  <si>
    <t>3.5 mm external audio source with adjustable source level.</t>
  </si>
  <si>
    <t>Analog audio input</t>
  </si>
  <si>
    <t>USB audio interface</t>
  </si>
  <si>
    <t>Playback and control of supported USB devices/iPod/iPhone; metadata and search.</t>
  </si>
  <si>
    <t>USB host; media stack</t>
  </si>
  <si>
    <t>External-device metadata/search</t>
  </si>
  <si>
    <t>Artist, album, title, playlists, file directory and category search for supported media.</t>
  </si>
  <si>
    <t>USB option</t>
  </si>
  <si>
    <t>CPU/storage/UI</t>
  </si>
  <si>
    <t>Random / current playback / track control</t>
  </si>
  <si>
    <t>Normal media playback controls and current-playback views.</t>
  </si>
  <si>
    <t>Media stack/UI</t>
  </si>
  <si>
    <t>Treble and bass</t>
  </si>
  <si>
    <t>Global tone adjustment.</t>
  </si>
  <si>
    <t>DSP/audio control</t>
  </si>
  <si>
    <t>Balance and fader</t>
  </si>
  <si>
    <t>Left/right and front/rear output balance adjustment.</t>
  </si>
  <si>
    <t>Equalizer</t>
  </si>
  <si>
    <t>Multi-band equalizer where equipped with compatible audio system.</t>
  </si>
  <si>
    <t>Keep via DSP</t>
  </si>
  <si>
    <t>Logic7 / surround control</t>
  </si>
  <si>
    <t>Stereo/multichannel surround option on Logic7-equipped vehicles.</t>
  </si>
  <si>
    <t>Replace with DSP controls</t>
  </si>
  <si>
    <t>Speed-dependent volume</t>
  </si>
  <si>
    <t>Volume adjustment as vehicle speed changes.</t>
  </si>
  <si>
    <t>Vehicle speed CAN + DSP</t>
  </si>
  <si>
    <t>PDC and gong relative volume</t>
  </si>
  <si>
    <t>Adjust warning/PDC tones relative to entertainment audio.</t>
  </si>
  <si>
    <t>Core/option-dependent</t>
  </si>
  <si>
    <t>DSP; PDC/chime mixing</t>
  </si>
  <si>
    <t>Onboard GPS navigation</t>
  </si>
  <si>
    <t>Vehicle-stored navigation system with GPS position and local map database.</t>
  </si>
  <si>
    <t>Navigation option</t>
  </si>
  <si>
    <t>Replace / supplement</t>
  </si>
  <si>
    <t>GPS; GPU; storage</t>
  </si>
  <si>
    <t>Local navigation map database</t>
  </si>
  <si>
    <t>Navigation data stored in vehicle and updatable from media.</t>
  </si>
  <si>
    <t>Storage</t>
  </si>
  <si>
    <t>Manual address entry</t>
  </si>
  <si>
    <t>Enter city/street/address through iDrive.</t>
  </si>
  <si>
    <t>Replace / modernize</t>
  </si>
  <si>
    <t>UI</t>
  </si>
  <si>
    <t>Address book destinations</t>
  </si>
  <si>
    <t>Save and select navigation destinations.</t>
  </si>
  <si>
    <t>Recent destinations</t>
  </si>
  <si>
    <t>Recall previously used destinations.</t>
  </si>
  <si>
    <t>Home address</t>
  </si>
  <si>
    <t>Dedicated stored home destination.</t>
  </si>
  <si>
    <t>Points of interest / special destinations</t>
  </si>
  <si>
    <t>Search predefined destination categories.</t>
  </si>
  <si>
    <t>Map/POI database or projection</t>
  </si>
  <si>
    <t>Map-based destination entry</t>
  </si>
  <si>
    <t>Choose a destination from the map.</t>
  </si>
  <si>
    <t>GPU/input</t>
  </si>
  <si>
    <t>Route criteria</t>
  </si>
  <si>
    <t>Avoid highways/tolls and choose routing preferences.</t>
  </si>
  <si>
    <t>Navigation engine</t>
  </si>
  <si>
    <t>Route information / route list</t>
  </si>
  <si>
    <t>Show route sections, distances and preview-map information.</t>
  </si>
  <si>
    <t>Navigation engine/UI</t>
  </si>
  <si>
    <t>Traffic bulletins / dynamic guidance</t>
  </si>
  <si>
    <t>Traffic information can influence route guidance where service is available.</t>
  </si>
  <si>
    <t>Optional/service dependent</t>
  </si>
  <si>
    <t>Network/projection</t>
  </si>
  <si>
    <t>Voice guidance</t>
  </si>
  <si>
    <t>Spoken turn-by-turn navigation instructions with volume control.</t>
  </si>
  <si>
    <t>Keep through modern nav</t>
  </si>
  <si>
    <t>Audio/GPS/projection</t>
  </si>
  <si>
    <t>Stored trips / intermediate destinations</t>
  </si>
  <si>
    <t>Save trips and navigate routes with multiple stops.</t>
  </si>
  <si>
    <t>Multiple map views</t>
  </si>
  <si>
    <t>North-up, direction-of-travel, perspective, automatic scaling and exit-ramp views.</t>
  </si>
  <si>
    <t>GPU/navigation</t>
  </si>
  <si>
    <t>Phone / Connectivity</t>
  </si>
  <si>
    <t>Bluetooth phone pairing</t>
  </si>
  <si>
    <t>Pair compatible phones and automatically reconnect.</t>
  </si>
  <si>
    <t>Optional phone prep</t>
  </si>
  <si>
    <t>Bluetooth radio</t>
  </si>
  <si>
    <t>Hands-free calling</t>
  </si>
  <si>
    <t>Use iDrive/steering wheel for calls through vehicle microphone and speakers.</t>
  </si>
  <si>
    <t>Bluetooth HFP; microphone; audio</t>
  </si>
  <si>
    <t>Phone book access</t>
  </si>
  <si>
    <t>Read phone contacts and dial them through iDrive.</t>
  </si>
  <si>
    <t>Bluetooth PBAP/UI</t>
  </si>
  <si>
    <t>Dial number</t>
  </si>
  <si>
    <t>Manual phone-number entry.</t>
  </si>
  <si>
    <t>Bluetooth HFP/UI</t>
  </si>
  <si>
    <t>Redial / received-call lists</t>
  </si>
  <si>
    <t>Call history views and redial.</t>
  </si>
  <si>
    <t>Call waiting / hold / conference</t>
  </si>
  <si>
    <t>Multiple-call handling when phone/network supports it.</t>
  </si>
  <si>
    <t>Keep if stack supports</t>
  </si>
  <si>
    <t>Bluetooth HFP</t>
  </si>
  <si>
    <t>Vehicle-stored contacts</t>
  </si>
  <si>
    <t>Contacts can be stored/edited in the vehicle separately from the phone.</t>
  </si>
  <si>
    <t>Drop / simplify</t>
  </si>
  <si>
    <t>Message display / My Info</t>
  </si>
  <si>
    <t>BMW Assist/Concierge messages can be displayed and used for phone/navigation actions.</t>
  </si>
  <si>
    <t>BMW Assist</t>
  </si>
  <si>
    <t>Drop / replace</t>
  </si>
  <si>
    <t>Legacy telematics</t>
  </si>
  <si>
    <t>BMW Assist / SOS service UI</t>
  </si>
  <si>
    <t>Emergency, collision, roadside and customer-service interfaces depend on BMW Assist hardware/service.</t>
  </si>
  <si>
    <t>Preserve vehicle safety dependency, replace UI as needed</t>
  </si>
  <si>
    <t>Vehicle telematics / CAN</t>
  </si>
  <si>
    <t>TeleService / service request</t>
  </si>
  <si>
    <t>Transmit vehicle service data and request service through BMW infrastructure.</t>
  </si>
  <si>
    <t>Legacy telematics/network</t>
  </si>
  <si>
    <t>BMW Search / concierge</t>
  </si>
  <si>
    <t>Online information and concierge destination services.</t>
  </si>
  <si>
    <t>Legacy network/browser</t>
  </si>
  <si>
    <t>Vehicle Information</t>
  </si>
  <si>
    <t>Onboard info</t>
  </si>
  <si>
    <t>Cruising range, average consumption/speed and related vehicle information.</t>
  </si>
  <si>
    <t>CAN</t>
  </si>
  <si>
    <t>Trip computer</t>
  </si>
  <si>
    <t>Trip duration, distance and related trip values with reset.</t>
  </si>
  <si>
    <t>CAN/persistent state</t>
  </si>
  <si>
    <t>Vehicle status</t>
  </si>
  <si>
    <t>Central view for vehicle/service status information.</t>
  </si>
  <si>
    <t>CBS service requirements</t>
  </si>
  <si>
    <t>Displays service items, due dates and detailed maintenance information.</t>
  </si>
  <si>
    <t>Tire-pressure / FTM status and reset</t>
  </si>
  <si>
    <t>View tire-monitor status and initialize/reset the system.</t>
  </si>
  <si>
    <t>PDC visual display</t>
  </si>
  <si>
    <t>Shows proximity visualization alongside acoustic parking warnings.</t>
  </si>
  <si>
    <t>CAN; display</t>
  </si>
  <si>
    <t>Rear-view camera display</t>
  </si>
  <si>
    <t>Displays camera image where the vehicle/camera system supports it.</t>
  </si>
  <si>
    <t>Optional/market dependent</t>
  </si>
  <si>
    <t>Camera input; video compositor</t>
  </si>
  <si>
    <t>Vehicle Settings</t>
  </si>
  <si>
    <t>Time and date</t>
  </si>
  <si>
    <t>Set/display vehicle time and date.</t>
  </si>
  <si>
    <t>CAN/RTC</t>
  </si>
  <si>
    <t>Language and units</t>
  </si>
  <si>
    <t>Set UI language and measurement units.</t>
  </si>
  <si>
    <t>Persistent settings/CAN</t>
  </si>
  <si>
    <t>Speed-limit warning setting</t>
  </si>
  <si>
    <t>Vehicle speed-warning setting through iDrive.</t>
  </si>
  <si>
    <t>Core/market dependent</t>
  </si>
  <si>
    <t>Lighting settings</t>
  </si>
  <si>
    <t>Configure applicable vehicle lighting options.</t>
  </si>
  <si>
    <t>Vehicle option dependent</t>
  </si>
  <si>
    <t>CAN/FRM integration</t>
  </si>
  <si>
    <t>Door-lock settings</t>
  </si>
  <si>
    <t>Configure applicable locking/unlocking behavior.</t>
  </si>
  <si>
    <t>CAN/CAS/JBE integration</t>
  </si>
  <si>
    <t>Climate settings</t>
  </si>
  <si>
    <t>Access certain automatic-climate settings through iDrive.</t>
  </si>
  <si>
    <t>CAN/IHKA integration</t>
  </si>
  <si>
    <t>Quick rollup</t>
  </si>
  <si>
    <t>Necessity 5 count</t>
  </si>
  <si>
    <t>Necessity 4 count</t>
  </si>
  <si>
    <t>Necessity 3 count</t>
  </si>
  <si>
    <t>Necessity 2 count</t>
  </si>
  <si>
    <t>Necessity 1 count</t>
  </si>
  <si>
    <t>Necessity 0 count</t>
  </si>
  <si>
    <t>E9XSim CIC — Proposed Target Feature Set</t>
  </si>
  <si>
    <t>Editable working requirements for the modern replacement CIC. This sheet intentionally separates must-have features from future ideas so the SOM can be sized for the actual V1 workload rather than hypothetical expansion.</t>
  </si>
  <si>
    <t>Proposed E9XSim CIC Feature</t>
  </si>
  <si>
    <t>Intent / behavior</t>
  </si>
  <si>
    <t>Origin</t>
  </si>
  <si>
    <t>Phase</t>
  </si>
  <si>
    <t>Primary hardware / interface driver</t>
  </si>
  <si>
    <t>SoC impact</t>
  </si>
  <si>
    <t>Notes</t>
  </si>
  <si>
    <t>Retain CIC visual language</t>
  </si>
  <si>
    <t>Keep the dark/orange BMW CIC look, panel navigation, typography feel and overall interaction philosophy without being pixel-for-pixel limited to 2008.</t>
  </si>
  <si>
    <t>OEM carryover</t>
  </si>
  <si>
    <t>V1</t>
  </si>
  <si>
    <t>Moderate</t>
  </si>
  <si>
    <t>Core identity of the project.</t>
  </si>
  <si>
    <t>Full OEM iDrive controller support</t>
  </si>
  <si>
    <t>Rotation, press, 4-way tilt and all shortcut buttons remain first-class controls.</t>
  </si>
  <si>
    <t>CAN/input</t>
  </si>
  <si>
    <t>Low</t>
  </si>
  <si>
    <t>Every normal function should remain usable without touch.</t>
  </si>
  <si>
    <t>Touchscreen input</t>
  </si>
  <si>
    <t>Add direct touch alongside knob control.</t>
  </si>
  <si>
    <t>Modernization</t>
  </si>
  <si>
    <t>Touch controller / Linux input</t>
  </si>
  <si>
    <t>Especially valuable for maps and Android Auto.</t>
  </si>
  <si>
    <t>Steering-wheel button integration</t>
  </si>
  <si>
    <t>Preserve volume, phone, voice and track/station controls.</t>
  </si>
  <si>
    <t>Context-sensitive OPTION menu</t>
  </si>
  <si>
    <t>Keep CIC-style contextual actions.</t>
  </si>
  <si>
    <t>BACK and MENU behavior</t>
  </si>
  <si>
    <t>Keep predictable global navigation behavior.</t>
  </si>
  <si>
    <t>UI/input</t>
  </si>
  <si>
    <t>Split-screen / multi-panel layouts</t>
  </si>
  <si>
    <t>Modernized split view for media, vehicle info and maps.</t>
  </si>
  <si>
    <t>Favorites / programmable shortcuts</t>
  </si>
  <si>
    <t>Support OEM memory buttons and/or software favorites.</t>
  </si>
  <si>
    <t>Later</t>
  </si>
  <si>
    <t>CAN/persistent storage</t>
  </si>
  <si>
    <t>Search / keyboard optimized for touch and knob</t>
  </si>
  <si>
    <t>Modern text entry while remaining controller-operable.</t>
  </si>
  <si>
    <t>Smooth 60 fps UI</t>
  </si>
  <si>
    <t>Animations and scrolling should feel immediate with no obvious frame drops.</t>
  </si>
  <si>
    <t>User goal</t>
  </si>
  <si>
    <t>CPU/GPU/RAM</t>
  </si>
  <si>
    <t>High</t>
  </si>
  <si>
    <t>Major SoC selection driver.</t>
  </si>
  <si>
    <t>Native UI resolution independent</t>
  </si>
  <si>
    <t>QML layout scales cleanly to selected wide high-resolution CID.</t>
  </si>
  <si>
    <t>Do not tie app architecture to 1280×480.</t>
  </si>
  <si>
    <t>High-resolution wide CID</t>
  </si>
  <si>
    <t>Drive a modern wide panel while staying close to original CIC physical aspect.</t>
  </si>
  <si>
    <t>Display engine/GPU</t>
  </si>
  <si>
    <t>Exact final resolution TBD after physical fit.</t>
  </si>
  <si>
    <t>High-brightness automotive display</t>
  </si>
  <si>
    <t>Sunlight-readable panel with automatic brightness/day-night behavior.</t>
  </si>
  <si>
    <t>Display/power/ambient light</t>
  </si>
  <si>
    <t>Mostly panel selection, not SoC compute.</t>
  </si>
  <si>
    <t>Capacitive multitouch</t>
  </si>
  <si>
    <t>Multi-touch for maps and modern UI gestures.</t>
  </si>
  <si>
    <t>Touch/I2C or USB</t>
  </si>
  <si>
    <t>Custom boot splash</t>
  </si>
  <si>
    <t>No Linux/terminal visuals during normal boot.</t>
  </si>
  <si>
    <t>Boot graphics</t>
  </si>
  <si>
    <t>Already proven in VM.</t>
  </si>
  <si>
    <t>Fast cold boot to useful UI</t>
  </si>
  <si>
    <t>Get a usable interface on-screen quickly even if background services continue initializing.</t>
  </si>
  <si>
    <t>Storage/CPU/software</t>
  </si>
  <si>
    <t>Important appliance-quality requirement.</t>
  </si>
  <si>
    <t>Fast wake / suspend-resume</t>
  </si>
  <si>
    <t>Wake before or by the time the driver is seated.</t>
  </si>
  <si>
    <t>SoC power management/BSP</t>
  </si>
  <si>
    <t>Major platform/BSP requirement.</t>
  </si>
  <si>
    <t>Kiosk/appliance mode</t>
  </si>
  <si>
    <t>No visible desktop, login prompt, cursor or normal Linux shell in production.</t>
  </si>
  <si>
    <t>OS integration</t>
  </si>
  <si>
    <t>Graceful UI crash recovery</t>
  </si>
  <si>
    <t>Watchdog/restart behavior should restore the CIC automatically.</t>
  </si>
  <si>
    <t>Reliability</t>
  </si>
  <si>
    <t>Watchdog/systemd</t>
  </si>
  <si>
    <t>Projection / Phone</t>
  </si>
  <si>
    <t>Wired Android Auto</t>
  </si>
  <si>
    <t>Phone projection over USB.</t>
  </si>
  <si>
    <t>USB/video/audio</t>
  </si>
  <si>
    <t>Primary modern navigation/app path.</t>
  </si>
  <si>
    <t>Wireless Android Auto</t>
  </si>
  <si>
    <t>Wireless projection using Wi-Fi + Bluetooth.</t>
  </si>
  <si>
    <t>V1/Later</t>
  </si>
  <si>
    <t>Wi-Fi/BT</t>
  </si>
  <si>
    <t>Strong reason for M.2 E-key wireless.</t>
  </si>
  <si>
    <t>Apple CarPlay</t>
  </si>
  <si>
    <t>Optional second projection ecosystem for broader compatibility.</t>
  </si>
  <si>
    <t>Later/Optional</t>
  </si>
  <si>
    <t>USB/Wi-Fi/BT</t>
  </si>
  <si>
    <t>Not required for current personal use.</t>
  </si>
  <si>
    <t>iDrive controls Android Auto</t>
  </si>
  <si>
    <t>Map rotary/tilt/select/back inputs into projection controller events.</t>
  </si>
  <si>
    <t>Input/projection integration</t>
  </si>
  <si>
    <t>Touch controls Android Auto</t>
  </si>
  <si>
    <t>Allow direct touchscreen use in projected apps.</t>
  </si>
  <si>
    <t>Touch/projection integration</t>
  </si>
  <si>
    <t>Bluetooth hands-free calling</t>
  </si>
  <si>
    <t>Calls through vehicle microphone and DSP/audio path.</t>
  </si>
  <si>
    <t>Bluetooth/audio/mic</t>
  </si>
  <si>
    <t>Bluetooth contact/call-list integration</t>
  </si>
  <si>
    <t>Phone book, recent calls and caller information in native UI where useful.</t>
  </si>
  <si>
    <t>Bluetooth</t>
  </si>
  <si>
    <t>Bluetooth audio streaming</t>
  </si>
  <si>
    <t>Bluetooth/audio</t>
  </si>
  <si>
    <t>Android Auto maps/navigation</t>
  </si>
  <si>
    <t>Google Maps/Waze/etc. through projection.</t>
  </si>
  <si>
    <t>Projection/GPU/audio</t>
  </si>
  <si>
    <t>Primary navigation solution.</t>
  </si>
  <si>
    <t>Native offline navigation</t>
  </si>
  <si>
    <t>Optional independent navigation when no phone is attached.</t>
  </si>
  <si>
    <t>GPS/storage/GPU</t>
  </si>
  <si>
    <t>Not necessary for initial SoC choice.</t>
  </si>
  <si>
    <t>Local GPS receiver</t>
  </si>
  <si>
    <t>Provide native position/time capability and future standalone navigation support.</t>
  </si>
  <si>
    <t>GNSS interface/antenna</t>
  </si>
  <si>
    <t>Native vehicle-overlay integration over maps</t>
  </si>
  <si>
    <t>Optional parking/vehicle information overlays outside or around projection.</t>
  </si>
  <si>
    <t>Keep projection boundaries/licensing in mind.</t>
  </si>
  <si>
    <t>Media / Radio</t>
  </si>
  <si>
    <t>Retain normal broadcast radio.</t>
  </si>
  <si>
    <t>Radio tuner/audio</t>
  </si>
  <si>
    <t>Could use separate tuner hardware.</t>
  </si>
  <si>
    <t>Retain AM if practical.</t>
  </si>
  <si>
    <t>Digital terrestrial radio if tuner solution makes it easy.</t>
  </si>
  <si>
    <t>OEM optional</t>
  </si>
  <si>
    <t>SiriusXM-style tuner/service support.</t>
  </si>
  <si>
    <t>External tuner/service</t>
  </si>
  <si>
    <t>USB media playback</t>
  </si>
  <si>
    <t>Browse and play common audio formats from USB storage.</t>
  </si>
  <si>
    <t>USB/storage/audio</t>
  </si>
  <si>
    <t>Local media library on NVMe</t>
  </si>
  <si>
    <t>Store music locally with metadata, album art, playlists and search.</t>
  </si>
  <si>
    <t>NVMe/storage/indexing</t>
  </si>
  <si>
    <t>Replacement for CIC HDD music collection.</t>
  </si>
  <si>
    <t>Retain analog external audio only if useful to packaging.</t>
  </si>
  <si>
    <t>Audio ADC</t>
  </si>
  <si>
    <t>CD/DVD drive</t>
  </si>
  <si>
    <t>Physical optical-media playback.</t>
  </si>
  <si>
    <t>Legacy OEM</t>
  </si>
  <si>
    <t>Omit</t>
  </si>
  <si>
    <t>None</t>
  </si>
  <si>
    <t>Intentionally obsolete.</t>
  </si>
  <si>
    <t>Rich metadata / album art</t>
  </si>
  <si>
    <t>Artist, album, title, artwork, playlists and search.</t>
  </si>
  <si>
    <t>UI/storage/network</t>
  </si>
  <si>
    <t>Source switching</t>
  </si>
  <si>
    <t>Fast switching between radio, projection, Bluetooth, USB and other sources.</t>
  </si>
  <si>
    <t>Audio routing/UI</t>
  </si>
  <si>
    <t>Audio</t>
  </si>
  <si>
    <t>Digital output to aftermarket DSP</t>
  </si>
  <si>
    <t>Primary high-quality audio path from CIC to separate DSP/amplifier system.</t>
  </si>
  <si>
    <t>I2S/TDM/S/PDIF/USB audio</t>
  </si>
  <si>
    <t>Exact transport TBD.</t>
  </si>
  <si>
    <t>Master volume / mute</t>
  </si>
  <si>
    <t>Retain expected BMW volume behavior.</t>
  </si>
  <si>
    <t>Audio/DSP</t>
  </si>
  <si>
    <t>Bass / treble / balance / fader</t>
  </si>
  <si>
    <t>Normal user tone controls exposed through the CIC.</t>
  </si>
  <si>
    <t>DSP control</t>
  </si>
  <si>
    <t>Advanced DSP / EQ control</t>
  </si>
  <si>
    <t>Expose richer equalizer, crossovers or profiles if supported by chosen DSP.</t>
  </si>
  <si>
    <t>Optional speed-based gain compensation.</t>
  </si>
  <si>
    <t>CAN + DSP</t>
  </si>
  <si>
    <t>Vehicle chime / warning mixing</t>
  </si>
  <si>
    <t>Gongs, alerts and parking tones must be audible and prioritized correctly.</t>
  </si>
  <si>
    <t>CAN/audio mixer</t>
  </si>
  <si>
    <t>Safety/user-experience critical.</t>
  </si>
  <si>
    <t>Projection/nav audio ducking</t>
  </si>
  <si>
    <t>Navigation prompts and calls should duck/mix with media properly.</t>
  </si>
  <si>
    <t>Audio mixer</t>
  </si>
  <si>
    <t>Cabin microphone input</t>
  </si>
  <si>
    <t>Hands-free calls, voice assistant and projection microphone path.</t>
  </si>
  <si>
    <t>Audio ADC / USB / codec</t>
  </si>
  <si>
    <t>Echo/noise cancellation</t>
  </si>
  <si>
    <t>Improve call and voice quality.</t>
  </si>
  <si>
    <t>CPU/DSP/audio</t>
  </si>
  <si>
    <t>Camera / Parking</t>
  </si>
  <si>
    <t>Reverse camera</t>
  </si>
  <si>
    <t>Automatically show a low-latency rear camera view when reverse is selected.</t>
  </si>
  <si>
    <t>Camera input/ISP/video</t>
  </si>
  <si>
    <t>Major SoC/interface requirement.</t>
  </si>
  <si>
    <t>Camera available before full CIC UI startup</t>
  </si>
  <si>
    <t>Reverse image should be available even if the main UI is still initializing.</t>
  </si>
  <si>
    <t>Boot/service/camera path</t>
  </si>
  <si>
    <t>Important architecture requirement.</t>
  </si>
  <si>
    <t>Dynamic parking guidelines</t>
  </si>
  <si>
    <t>Overlay steering-angle-based guidelines.</t>
  </si>
  <si>
    <t>CAN/GPU</t>
  </si>
  <si>
    <t>PDC visual overlay</t>
  </si>
  <si>
    <t>Display proximity zones, ideally alongside the camera image.</t>
  </si>
  <si>
    <t>Front camera</t>
  </si>
  <si>
    <t>Optional front parking camera.</t>
  </si>
  <si>
    <t>Future</t>
  </si>
  <si>
    <t>Additional camera input</t>
  </si>
  <si>
    <t>Multi-camera / 360 support</t>
  </si>
  <si>
    <t>Future surround-view possibility.</t>
  </si>
  <si>
    <t>Multiple CSI inputs/ISP</t>
  </si>
  <si>
    <t>Potential SoC differentiator, but not V1.</t>
  </si>
  <si>
    <t>Dashcam recording</t>
  </si>
  <si>
    <t>Optional recording from one or more cameras.</t>
  </si>
  <si>
    <t>Video encoder/storage</t>
  </si>
  <si>
    <t>Not a base requirement.</t>
  </si>
  <si>
    <t>Vehicle Integration</t>
  </si>
  <si>
    <t>K-CAN interface</t>
  </si>
  <si>
    <t>Native Linux SocketCAN path to the car, using same app code as VM vcan0 testing.</t>
  </si>
  <si>
    <t>Core architecture</t>
  </si>
  <si>
    <t>CAN controller/transceiver</t>
  </si>
  <si>
    <t>Already proven conceptually.</t>
  </si>
  <si>
    <t>OEM vehicle settings</t>
  </si>
  <si>
    <t>Control lighting, locks, time/date, units and other CIC-accessible vehicle settings.</t>
  </si>
  <si>
    <t>Onboard/trip computer</t>
  </si>
  <si>
    <t>Range, average speed/consumption, trip values and resets.</t>
  </si>
  <si>
    <t>CBS/service information</t>
  </si>
  <si>
    <t>Display OEM service requirements and due dates.</t>
  </si>
  <si>
    <t>Preserve monitor status and reset/init functionality.</t>
  </si>
  <si>
    <t>Check-control / warning information</t>
  </si>
  <si>
    <t>Surface applicable vehicle warnings and descriptive text.</t>
  </si>
  <si>
    <t>Climate-related CIC settings</t>
  </si>
  <si>
    <t>Preserve settings routed through IHKA where present.</t>
  </si>
  <si>
    <t>PDC state and tone integration</t>
  </si>
  <si>
    <t>Use OEM PDC data for graphics and audio.</t>
  </si>
  <si>
    <t>CAN/audio</t>
  </si>
  <si>
    <t>Custom live telemetry pages</t>
  </si>
  <si>
    <t>Optional enthusiast-oriented gauges and live values while retaining CIC style.</t>
  </si>
  <si>
    <t>CAN/UI</t>
  </si>
  <si>
    <t>Diagnostic/service screen</t>
  </si>
  <si>
    <t>View module status, bus health, software versions and useful service data.</t>
  </si>
  <si>
    <t>CAN/storage/UI</t>
  </si>
  <si>
    <t>Vehicle configuration awareness</t>
  </si>
  <si>
    <t>UI adapts to installed options and coded vehicle configuration.</t>
  </si>
  <si>
    <t>CAN/config storage</t>
  </si>
  <si>
    <t>Storage / Connectivity</t>
  </si>
  <si>
    <t>M.2 NVMe storage</t>
  </si>
  <si>
    <t>Replace soldered application storage where practical with serviceable carrier-board NVMe.</t>
  </si>
  <si>
    <t>PCIe</t>
  </si>
  <si>
    <t>Boot may still use small SOM flash if required.</t>
  </si>
  <si>
    <t>M.2 E-key Wi-Fi/Bluetooth</t>
  </si>
  <si>
    <t>Keep radio module replaceable and RF routing off the carrier PCB.</t>
  </si>
  <si>
    <t>PCIe x1 + USB 2.0</t>
  </si>
  <si>
    <t>Major SOM/carrier selection filter.</t>
  </si>
  <si>
    <t>USB-C / high-speed USB</t>
  </si>
  <si>
    <t>Phone projection, service, media and future peripherals.</t>
  </si>
  <si>
    <t>USB 3.x</t>
  </si>
  <si>
    <t>Additional USB host port(s)</t>
  </si>
  <si>
    <t>Media storage and accessories.</t>
  </si>
  <si>
    <t>USB</t>
  </si>
  <si>
    <t>Ethernet service/debug interface</t>
  </si>
  <si>
    <t>Useful for bench development and service, not necessarily externally accessible in car.</t>
  </si>
  <si>
    <t>Development</t>
  </si>
  <si>
    <t>Ethernet</t>
  </si>
  <si>
    <t>Cellular modem expansion</t>
  </si>
  <si>
    <t>Optional future LTE/5G via M.2 rather than integrated base SOM.</t>
  </si>
  <si>
    <t>PCIe/USB/SIM/RF</t>
  </si>
  <si>
    <t>Wi-Fi OTA updates</t>
  </si>
  <si>
    <t>Update software over trusted Wi-Fi.</t>
  </si>
  <si>
    <t>Wi-Fi/storage</t>
  </si>
  <si>
    <t>System / Reliability</t>
  </si>
  <si>
    <t>Ignition-aware power management</t>
  </si>
  <si>
    <t>Wake, run, quiesce and shutdown based on BMW terminal/wake states.</t>
  </si>
  <si>
    <t>Power MCU/CAN/Linux PM</t>
  </si>
  <si>
    <t>Low-power parked state</t>
  </si>
  <si>
    <t>Minimize battery drain while retaining appropriate wake behavior.</t>
  </si>
  <si>
    <t>SoC sleep/BSP/PMIC</t>
  </si>
  <si>
    <t>Major SOM/BSP selection driver.</t>
  </si>
  <si>
    <t>Delayed full shutdown</t>
  </si>
  <si>
    <t>Short stops can resume quickly; long parking can transition to full shutdown.</t>
  </si>
  <si>
    <t>Power management</t>
  </si>
  <si>
    <t>Hardware watchdog</t>
  </si>
  <si>
    <t>Recover automatically from software lockups.</t>
  </si>
  <si>
    <t>Watchdog/PMIC/MCU</t>
  </si>
  <si>
    <t>Brownout / automotive power protection</t>
  </si>
  <si>
    <t>Survive cranking, load dump and supply transients through carrier power design.</t>
  </si>
  <si>
    <t>Automotive PSU</t>
  </si>
  <si>
    <t>Carrier requirement more than SoC requirement.</t>
  </si>
  <si>
    <t>Thermal monitoring / throttling</t>
  </si>
  <si>
    <t>Monitor SoC and enclosure temperature and degrade gracefully.</t>
  </si>
  <si>
    <t>Sensors/SoC thermal framework</t>
  </si>
  <si>
    <t>Passive/fanless operation target</t>
  </si>
  <si>
    <t>Avoid a cabin fan if practical.</t>
  </si>
  <si>
    <t>User goal inferred</t>
  </si>
  <si>
    <t>Power/thermal</t>
  </si>
  <si>
    <t>Favors moderate-power SOM.</t>
  </si>
  <si>
    <t>Read-only/recoverable OS design</t>
  </si>
  <si>
    <t>Minimize corruption risk and support recovery after interrupted updates.</t>
  </si>
  <si>
    <t>Storage/OS</t>
  </si>
  <si>
    <t>A/B or rollback updates</t>
  </si>
  <si>
    <t>Safe update mechanism with fallback image.</t>
  </si>
  <si>
    <t>Storage/bootloader</t>
  </si>
  <si>
    <t>Signed software updates</t>
  </si>
  <si>
    <t>Prevent accidental/corrupt/unauthorized production images.</t>
  </si>
  <si>
    <t>Secure boot/crypto</t>
  </si>
  <si>
    <t>Persistent logs and diagnostics</t>
  </si>
  <si>
    <t>Collect boot, crash and vehicle-interface logs for troubleshooting.</t>
  </si>
  <si>
    <t>Developer SSH/service mode</t>
  </si>
  <si>
    <t>Enable shell access on development units; disable or gate it in production.</t>
  </si>
  <si>
    <t>Network/OS</t>
  </si>
  <si>
    <t>Reproducible VM-to-hardware software image</t>
  </si>
  <si>
    <t>Keep Ubuntu/userspace/application structure as similar as practical between QEMU and the real SOM.</t>
  </si>
  <si>
    <t>BSP/Linux</t>
  </si>
  <si>
    <t>Important SOM vendor/BSP filter.</t>
  </si>
  <si>
    <t>Native local voice assistant</t>
  </si>
  <si>
    <t>Modern natural-language control independent of phone projection.</t>
  </si>
  <si>
    <t>CPU/NPU/RAM/mic</t>
  </si>
  <si>
    <t>Not needed to size V1 aggressively.</t>
  </si>
  <si>
    <t>On-device AI assistant</t>
  </si>
  <si>
    <t>Larger local model for vehicle/manual/context assistance.</t>
  </si>
  <si>
    <t>NPU/GPU/RAM</t>
  </si>
  <si>
    <t>Very High</t>
  </si>
  <si>
    <t>Explicitly future-only; should not drive base SOM choice.</t>
  </si>
  <si>
    <t>Cloud AI assistant</t>
  </si>
  <si>
    <t>Cloud-backed assistant with modest local inference.</t>
  </si>
  <si>
    <t>Network/mic</t>
  </si>
  <si>
    <t>Would need privacy/product decisions.</t>
  </si>
  <si>
    <t>Native third-party app framework</t>
  </si>
  <si>
    <t>Run standalone music/weather/etc. applications outside phone projection.</t>
  </si>
  <si>
    <t>CPU/RAM/storage</t>
  </si>
  <si>
    <t>Projection reduces need for this.</t>
  </si>
  <si>
    <t>V1 features</t>
  </si>
  <si>
    <t>V1/Later features</t>
  </si>
  <si>
    <t>Necessity 5</t>
  </si>
  <si>
    <t>Necessity 4</t>
  </si>
  <si>
    <t>High SoC impact</t>
  </si>
  <si>
    <t>Very High SoC impact</t>
  </si>
  <si>
    <t>Future-category features</t>
  </si>
  <si>
    <t>Enthusiast</t>
  </si>
  <si>
    <t>Drive Recorder</t>
  </si>
  <si>
    <t>Diagnostic details</t>
  </si>
  <si>
    <t>Power and Torque Dials</t>
  </si>
  <si>
    <t>Lap Recorder</t>
  </si>
  <si>
    <t>Realtime Tire-pressure display</t>
  </si>
  <si>
    <t>Telemetry monitor and recorder</t>
  </si>
  <si>
    <t>Advanced Temperature monitoring</t>
  </si>
  <si>
    <t>Boost Gauge</t>
  </si>
  <si>
    <t>A2DP/AVRCP music playback independent of projection. Rich information: album art, artist, album, year, progress</t>
  </si>
  <si>
    <t>QoL</t>
  </si>
  <si>
    <t>Add-on integration</t>
  </si>
  <si>
    <t>Additional gauges/displays, ambient lighting, user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</si>
</sst>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7"/>
      <color rgb="FFFFFFFF"/>
      <name val="Carlito"/>
    </font>
    <font>
      <sz val="10"/>
      <color rgb="FFDCE7F0"/>
      <name val="Carlito"/>
    </font>
    <font>
      <sz val="11"/>
      <color rgb="FF243744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8222D"/>
      </patternFill>
    </fill>
    <fill>
      <patternFill patternType="solid">
        <fgColor rgb="FF253443"/>
      </patternFill>
    </fill>
    <fill>
      <patternFill patternType="solid">
        <fgColor rgb="FFEAF2F7"/>
      </patternFill>
    </fill>
    <fill>
      <patternFill patternType="solid">
        <fgColor rgb="FF255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icFeaturesTable" displayName="BaseCicFeaturesTable" ref="A5:H84" totalsRowShown="0">
  <tableColumns count="8">
    <tableColumn id="1" xr3:uid="{00000000-0010-0000-0000-000001000000}" name="Category"/>
    <tableColumn id="2" xr3:uid="{00000000-0010-0000-0000-000002000000}" name="OEM CIC Feature"/>
    <tableColumn id="3" xr3:uid="{00000000-0010-0000-0000-000003000000}" name="What it does"/>
    <tableColumn id="4" xr3:uid="{00000000-0010-0000-0000-000004000000}" name="Availability"/>
    <tableColumn id="5" xr3:uid="{00000000-0010-0000-0000-000005000000}" name="Necessity (0–5)"/>
    <tableColumn id="6" xr3:uid="{00000000-0010-0000-0000-000006000000}" name="Suggested disposition"/>
    <tableColumn id="7" xr3:uid="{00000000-0010-0000-0000-000007000000}" name="Primary hardware / software impact"/>
    <tableColumn id="8" xr3:uid="{00000000-0010-0000-0000-000008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9XSimTargetFeaturesTable" displayName="E9XSimTargetFeaturesTable" ref="A5:I106" totalsRowShown="0">
  <tableColumns count="9">
    <tableColumn id="1" xr3:uid="{00000000-0010-0000-0100-000001000000}" name="Category"/>
    <tableColumn id="2" xr3:uid="{00000000-0010-0000-0100-000002000000}" name="Proposed E9XSim CIC Feature"/>
    <tableColumn id="3" xr3:uid="{00000000-0010-0000-0100-000003000000}" name="Intent / behavior"/>
    <tableColumn id="4" xr3:uid="{00000000-0010-0000-0100-000004000000}" name="Origin"/>
    <tableColumn id="5" xr3:uid="{00000000-0010-0000-0100-000005000000}" name="Necessity (0–5)"/>
    <tableColumn id="6" xr3:uid="{00000000-0010-0000-0100-000006000000}" name="Phase"/>
    <tableColumn id="7" xr3:uid="{00000000-0010-0000-0100-000007000000}" name="Primary hardware / interface driver"/>
    <tableColumn id="8" xr3:uid="{00000000-0010-0000-0100-000008000000}" name="SoC impact"/>
    <tableColumn id="9" xr3:uid="{00000000-0010-0000-0100-00000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opLeftCell="A62" workbookViewId="0">
      <selection activeCell="E48" sqref="E48"/>
    </sheetView>
  </sheetViews>
  <sheetFormatPr defaultRowHeight="14.25"/>
  <cols>
    <col min="1" max="1" width="22" customWidth="1"/>
    <col min="2" max="2" width="32" customWidth="1"/>
    <col min="3" max="3" width="54" customWidth="1"/>
    <col min="4" max="4" width="23" customWidth="1"/>
    <col min="5" max="5" width="15" customWidth="1"/>
    <col min="6" max="6" width="22" customWidth="1"/>
    <col min="7" max="7" width="34" customWidth="1"/>
    <col min="8" max="8" width="52" customWidth="1"/>
  </cols>
  <sheetData>
    <row r="1" spans="1:8" ht="30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44.1" customHeight="1">
      <c r="A2" s="5" t="s">
        <v>1</v>
      </c>
      <c r="B2" s="5"/>
      <c r="C2" s="5"/>
      <c r="D2" s="5"/>
      <c r="E2" s="5"/>
      <c r="F2" s="5"/>
      <c r="G2" s="5"/>
      <c r="H2" s="5"/>
    </row>
    <row r="3" spans="1:8" ht="33.950000000000003" customHeight="1">
      <c r="A3" s="6" t="s">
        <v>2</v>
      </c>
      <c r="B3" s="6"/>
      <c r="C3" s="6"/>
      <c r="D3" s="6"/>
      <c r="E3" s="6"/>
      <c r="F3" s="6"/>
      <c r="G3" s="6"/>
      <c r="H3" s="6"/>
    </row>
    <row r="5" spans="1:8" ht="42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42.75">
      <c r="A6" s="2" t="s">
        <v>11</v>
      </c>
      <c r="B6" s="2" t="s">
        <v>12</v>
      </c>
      <c r="C6" s="2" t="s">
        <v>13</v>
      </c>
      <c r="D6" s="2" t="s">
        <v>14</v>
      </c>
      <c r="E6" s="3">
        <v>5</v>
      </c>
      <c r="F6" s="2" t="s">
        <v>15</v>
      </c>
      <c r="G6" s="2" t="s">
        <v>16</v>
      </c>
      <c r="H6" s="2" t="s">
        <v>17</v>
      </c>
    </row>
    <row r="7" spans="1:8" ht="28.5">
      <c r="A7" s="2" t="s">
        <v>11</v>
      </c>
      <c r="B7" s="2" t="s">
        <v>18</v>
      </c>
      <c r="C7" s="2" t="s">
        <v>19</v>
      </c>
      <c r="D7" s="2" t="s">
        <v>14</v>
      </c>
      <c r="E7" s="3">
        <v>5</v>
      </c>
      <c r="F7" s="2" t="s">
        <v>20</v>
      </c>
      <c r="G7" s="2" t="s">
        <v>21</v>
      </c>
      <c r="H7" s="2" t="s">
        <v>17</v>
      </c>
    </row>
    <row r="8" spans="1:8" ht="28.5">
      <c r="A8" s="2" t="s">
        <v>11</v>
      </c>
      <c r="B8" s="2" t="s">
        <v>22</v>
      </c>
      <c r="C8" s="2" t="s">
        <v>23</v>
      </c>
      <c r="D8" s="2" t="s">
        <v>14</v>
      </c>
      <c r="E8" s="3">
        <v>5</v>
      </c>
      <c r="F8" s="2" t="s">
        <v>20</v>
      </c>
      <c r="G8" s="2" t="s">
        <v>21</v>
      </c>
      <c r="H8" s="2" t="s">
        <v>17</v>
      </c>
    </row>
    <row r="9" spans="1:8" ht="28.5">
      <c r="A9" s="2" t="s">
        <v>11</v>
      </c>
      <c r="B9" s="2" t="s">
        <v>24</v>
      </c>
      <c r="C9" s="2" t="s">
        <v>25</v>
      </c>
      <c r="D9" s="2" t="s">
        <v>14</v>
      </c>
      <c r="E9" s="3">
        <v>5</v>
      </c>
      <c r="F9" s="2" t="s">
        <v>20</v>
      </c>
      <c r="G9" s="2" t="s">
        <v>21</v>
      </c>
      <c r="H9" s="2" t="s">
        <v>17</v>
      </c>
    </row>
    <row r="10" spans="1:8" ht="28.5">
      <c r="A10" s="2" t="s">
        <v>11</v>
      </c>
      <c r="B10" s="2" t="s">
        <v>26</v>
      </c>
      <c r="C10" s="2" t="s">
        <v>27</v>
      </c>
      <c r="D10" s="2" t="s">
        <v>14</v>
      </c>
      <c r="E10" s="3">
        <v>5</v>
      </c>
      <c r="F10" s="2" t="s">
        <v>20</v>
      </c>
      <c r="G10" s="2" t="s">
        <v>21</v>
      </c>
      <c r="H10" s="2" t="s">
        <v>17</v>
      </c>
    </row>
    <row r="11" spans="1:8" ht="28.5">
      <c r="A11" s="2" t="s">
        <v>11</v>
      </c>
      <c r="B11" s="2" t="s">
        <v>28</v>
      </c>
      <c r="C11" s="2" t="s">
        <v>29</v>
      </c>
      <c r="D11" s="2" t="s">
        <v>14</v>
      </c>
      <c r="E11" s="3">
        <v>5</v>
      </c>
      <c r="F11" s="2" t="s">
        <v>20</v>
      </c>
      <c r="G11" s="2" t="s">
        <v>21</v>
      </c>
      <c r="H11" s="2" t="s">
        <v>17</v>
      </c>
    </row>
    <row r="12" spans="1:8" ht="28.5">
      <c r="A12" s="2" t="s">
        <v>11</v>
      </c>
      <c r="B12" s="2" t="s">
        <v>30</v>
      </c>
      <c r="C12" s="2" t="s">
        <v>31</v>
      </c>
      <c r="D12" s="2" t="s">
        <v>14</v>
      </c>
      <c r="E12" s="3">
        <v>5</v>
      </c>
      <c r="F12" s="2" t="s">
        <v>20</v>
      </c>
      <c r="G12" s="2" t="s">
        <v>21</v>
      </c>
      <c r="H12" s="2" t="s">
        <v>17</v>
      </c>
    </row>
    <row r="13" spans="1:8" ht="28.5">
      <c r="A13" s="2" t="s">
        <v>11</v>
      </c>
      <c r="B13" s="2" t="s">
        <v>32</v>
      </c>
      <c r="C13" s="2" t="s">
        <v>33</v>
      </c>
      <c r="D13" s="2" t="s">
        <v>14</v>
      </c>
      <c r="E13" s="3">
        <v>5</v>
      </c>
      <c r="F13" s="2" t="s">
        <v>34</v>
      </c>
      <c r="G13" s="2" t="s">
        <v>21</v>
      </c>
      <c r="H13" s="2" t="s">
        <v>17</v>
      </c>
    </row>
    <row r="14" spans="1:8" ht="28.5">
      <c r="A14" s="2" t="s">
        <v>11</v>
      </c>
      <c r="B14" s="2" t="s">
        <v>35</v>
      </c>
      <c r="C14" s="2" t="s">
        <v>36</v>
      </c>
      <c r="D14" s="2" t="s">
        <v>37</v>
      </c>
      <c r="E14" s="3">
        <v>5</v>
      </c>
      <c r="F14" s="2" t="s">
        <v>20</v>
      </c>
      <c r="G14" s="2" t="s">
        <v>38</v>
      </c>
      <c r="H14" s="2" t="s">
        <v>17</v>
      </c>
    </row>
    <row r="15" spans="1:8" ht="28.5">
      <c r="A15" s="2" t="s">
        <v>11</v>
      </c>
      <c r="B15" s="2" t="s">
        <v>39</v>
      </c>
      <c r="C15" s="2" t="s">
        <v>40</v>
      </c>
      <c r="D15" s="2" t="s">
        <v>14</v>
      </c>
      <c r="E15" s="3">
        <v>4</v>
      </c>
      <c r="F15" s="2" t="s">
        <v>41</v>
      </c>
      <c r="G15" s="2" t="s">
        <v>42</v>
      </c>
      <c r="H15" s="2" t="s">
        <v>17</v>
      </c>
    </row>
    <row r="16" spans="1:8" ht="28.5">
      <c r="A16" s="2" t="s">
        <v>11</v>
      </c>
      <c r="B16" s="2" t="s">
        <v>43</v>
      </c>
      <c r="C16" s="2" t="s">
        <v>44</v>
      </c>
      <c r="D16" s="2" t="s">
        <v>14</v>
      </c>
      <c r="E16" s="3">
        <v>4</v>
      </c>
      <c r="F16" s="2" t="s">
        <v>15</v>
      </c>
      <c r="G16" s="2" t="s">
        <v>42</v>
      </c>
      <c r="H16" s="2" t="s">
        <v>17</v>
      </c>
    </row>
    <row r="17" spans="1:8" ht="28.5">
      <c r="A17" s="2" t="s">
        <v>11</v>
      </c>
      <c r="B17" s="2" t="s">
        <v>45</v>
      </c>
      <c r="C17" s="2" t="s">
        <v>46</v>
      </c>
      <c r="D17" s="2" t="s">
        <v>47</v>
      </c>
      <c r="E17" s="3">
        <v>4</v>
      </c>
      <c r="F17" s="2" t="s">
        <v>15</v>
      </c>
      <c r="G17" s="2" t="s">
        <v>48</v>
      </c>
      <c r="H17" s="2" t="s">
        <v>17</v>
      </c>
    </row>
    <row r="18" spans="1:8" ht="28.5">
      <c r="A18" s="2" t="s">
        <v>11</v>
      </c>
      <c r="B18" s="2" t="s">
        <v>49</v>
      </c>
      <c r="C18" s="2" t="s">
        <v>50</v>
      </c>
      <c r="D18" s="2" t="s">
        <v>14</v>
      </c>
      <c r="E18" s="3">
        <v>3</v>
      </c>
      <c r="F18" s="2" t="s">
        <v>15</v>
      </c>
      <c r="G18" s="2" t="s">
        <v>51</v>
      </c>
      <c r="H18" s="2" t="s">
        <v>17</v>
      </c>
    </row>
    <row r="19" spans="1:8" ht="28.5">
      <c r="A19" s="2" t="s">
        <v>11</v>
      </c>
      <c r="B19" s="2" t="s">
        <v>52</v>
      </c>
      <c r="C19" s="2" t="s">
        <v>53</v>
      </c>
      <c r="D19" s="2" t="s">
        <v>14</v>
      </c>
      <c r="E19" s="3">
        <v>3</v>
      </c>
      <c r="F19" s="2" t="s">
        <v>54</v>
      </c>
      <c r="G19" s="2" t="s">
        <v>55</v>
      </c>
      <c r="H19" s="2" t="s">
        <v>17</v>
      </c>
    </row>
    <row r="20" spans="1:8" ht="28.5">
      <c r="A20" s="2" t="s">
        <v>11</v>
      </c>
      <c r="B20" s="2" t="s">
        <v>56</v>
      </c>
      <c r="C20" s="2" t="s">
        <v>57</v>
      </c>
      <c r="D20" s="2" t="s">
        <v>37</v>
      </c>
      <c r="E20" s="3">
        <v>2</v>
      </c>
      <c r="F20" s="2" t="s">
        <v>58</v>
      </c>
      <c r="G20" s="2" t="s">
        <v>59</v>
      </c>
      <c r="H20" s="2" t="s">
        <v>17</v>
      </c>
    </row>
    <row r="21" spans="1:8" ht="28.5">
      <c r="A21" s="2" t="s">
        <v>11</v>
      </c>
      <c r="B21" s="2" t="s">
        <v>60</v>
      </c>
      <c r="C21" s="2" t="s">
        <v>61</v>
      </c>
      <c r="D21" s="2" t="s">
        <v>62</v>
      </c>
      <c r="E21" s="3">
        <v>3</v>
      </c>
      <c r="F21" s="2" t="s">
        <v>63</v>
      </c>
      <c r="G21" s="2" t="s">
        <v>64</v>
      </c>
      <c r="H21" s="2" t="s">
        <v>17</v>
      </c>
    </row>
    <row r="22" spans="1:8" ht="28.5">
      <c r="A22" s="2" t="s">
        <v>65</v>
      </c>
      <c r="B22" s="2" t="s">
        <v>66</v>
      </c>
      <c r="C22" s="2" t="s">
        <v>67</v>
      </c>
      <c r="D22" s="2" t="s">
        <v>14</v>
      </c>
      <c r="E22" s="3">
        <v>5</v>
      </c>
      <c r="F22" s="2" t="s">
        <v>68</v>
      </c>
      <c r="G22" s="2" t="s">
        <v>69</v>
      </c>
      <c r="H22" s="2" t="s">
        <v>17</v>
      </c>
    </row>
    <row r="23" spans="1:8" ht="28.5">
      <c r="A23" s="2" t="s">
        <v>65</v>
      </c>
      <c r="B23" s="2" t="s">
        <v>70</v>
      </c>
      <c r="C23" s="2" t="s">
        <v>71</v>
      </c>
      <c r="D23" s="2" t="s">
        <v>14</v>
      </c>
      <c r="E23" s="3">
        <v>4</v>
      </c>
      <c r="F23" s="2" t="s">
        <v>15</v>
      </c>
      <c r="G23" s="2" t="s">
        <v>72</v>
      </c>
      <c r="H23" s="2" t="s">
        <v>17</v>
      </c>
    </row>
    <row r="24" spans="1:8" ht="28.5">
      <c r="A24" s="2" t="s">
        <v>65</v>
      </c>
      <c r="B24" s="2" t="s">
        <v>73</v>
      </c>
      <c r="C24" s="2" t="s">
        <v>74</v>
      </c>
      <c r="D24" s="2" t="s">
        <v>14</v>
      </c>
      <c r="E24" s="3">
        <v>4</v>
      </c>
      <c r="F24" s="2" t="s">
        <v>20</v>
      </c>
      <c r="G24" s="2" t="s">
        <v>75</v>
      </c>
      <c r="H24" s="2" t="s">
        <v>17</v>
      </c>
    </row>
    <row r="25" spans="1:8" ht="28.5">
      <c r="A25" s="2" t="s">
        <v>76</v>
      </c>
      <c r="B25" s="2" t="s">
        <v>77</v>
      </c>
      <c r="C25" s="2" t="s">
        <v>78</v>
      </c>
      <c r="D25" s="2" t="s">
        <v>14</v>
      </c>
      <c r="E25" s="3">
        <v>5</v>
      </c>
      <c r="F25" s="2" t="s">
        <v>20</v>
      </c>
      <c r="G25" s="2" t="s">
        <v>79</v>
      </c>
      <c r="H25" s="2" t="s">
        <v>17</v>
      </c>
    </row>
    <row r="26" spans="1:8" ht="28.5">
      <c r="A26" s="2" t="s">
        <v>76</v>
      </c>
      <c r="B26" s="2" t="s">
        <v>80</v>
      </c>
      <c r="C26" s="2" t="s">
        <v>81</v>
      </c>
      <c r="D26" s="2" t="s">
        <v>14</v>
      </c>
      <c r="E26" s="3">
        <v>4</v>
      </c>
      <c r="F26" s="2" t="s">
        <v>20</v>
      </c>
      <c r="G26" s="2" t="s">
        <v>82</v>
      </c>
      <c r="H26" s="2" t="s">
        <v>17</v>
      </c>
    </row>
    <row r="27" spans="1:8" ht="28.5">
      <c r="A27" s="2" t="s">
        <v>76</v>
      </c>
      <c r="B27" s="2" t="s">
        <v>83</v>
      </c>
      <c r="C27" s="2" t="s">
        <v>84</v>
      </c>
      <c r="D27" s="2" t="s">
        <v>14</v>
      </c>
      <c r="E27" s="3">
        <v>3</v>
      </c>
      <c r="F27" s="2" t="s">
        <v>54</v>
      </c>
      <c r="G27" s="2" t="s">
        <v>82</v>
      </c>
      <c r="H27" s="2" t="s">
        <v>17</v>
      </c>
    </row>
    <row r="28" spans="1:8" ht="28.5">
      <c r="A28" s="2" t="s">
        <v>76</v>
      </c>
      <c r="B28" s="2" t="s">
        <v>85</v>
      </c>
      <c r="C28" s="2" t="s">
        <v>86</v>
      </c>
      <c r="D28" s="2" t="s">
        <v>87</v>
      </c>
      <c r="E28" s="3">
        <v>2</v>
      </c>
      <c r="F28" s="2" t="s">
        <v>87</v>
      </c>
      <c r="G28" s="2" t="s">
        <v>88</v>
      </c>
      <c r="H28" s="2" t="s">
        <v>89</v>
      </c>
    </row>
    <row r="29" spans="1:8" ht="28.5">
      <c r="A29" s="2" t="s">
        <v>76</v>
      </c>
      <c r="B29" s="2" t="s">
        <v>90</v>
      </c>
      <c r="C29" s="2" t="s">
        <v>91</v>
      </c>
      <c r="D29" s="2" t="s">
        <v>87</v>
      </c>
      <c r="E29" s="3">
        <v>1</v>
      </c>
      <c r="F29" s="2" t="s">
        <v>92</v>
      </c>
      <c r="G29" s="2" t="s">
        <v>93</v>
      </c>
      <c r="H29" s="2" t="s">
        <v>17</v>
      </c>
    </row>
    <row r="30" spans="1:8" ht="28.5">
      <c r="A30" s="2" t="s">
        <v>76</v>
      </c>
      <c r="B30" s="2" t="s">
        <v>94</v>
      </c>
      <c r="C30" s="2" t="s">
        <v>95</v>
      </c>
      <c r="D30" s="2" t="s">
        <v>96</v>
      </c>
      <c r="E30" s="3">
        <v>3</v>
      </c>
      <c r="F30" s="2" t="s">
        <v>97</v>
      </c>
      <c r="G30" s="2" t="s">
        <v>98</v>
      </c>
      <c r="H30" s="2" t="s">
        <v>17</v>
      </c>
    </row>
    <row r="31" spans="1:8" ht="28.5">
      <c r="A31" s="2" t="s">
        <v>76</v>
      </c>
      <c r="B31" s="2" t="s">
        <v>99</v>
      </c>
      <c r="C31" s="2" t="s">
        <v>100</v>
      </c>
      <c r="D31" s="2" t="s">
        <v>14</v>
      </c>
      <c r="E31" s="3">
        <v>4</v>
      </c>
      <c r="F31" s="2" t="s">
        <v>20</v>
      </c>
      <c r="G31" s="2" t="s">
        <v>101</v>
      </c>
      <c r="H31" s="2" t="s">
        <v>17</v>
      </c>
    </row>
    <row r="32" spans="1:8" ht="28.5">
      <c r="A32" s="2" t="s">
        <v>76</v>
      </c>
      <c r="B32" s="2" t="s">
        <v>102</v>
      </c>
      <c r="C32" s="2" t="s">
        <v>103</v>
      </c>
      <c r="D32" s="2" t="s">
        <v>104</v>
      </c>
      <c r="E32" s="3">
        <v>0</v>
      </c>
      <c r="F32" s="2" t="s">
        <v>105</v>
      </c>
      <c r="G32" s="2" t="s">
        <v>106</v>
      </c>
      <c r="H32" s="2" t="s">
        <v>17</v>
      </c>
    </row>
    <row r="33" spans="1:8" ht="28.5">
      <c r="A33" s="2" t="s">
        <v>76</v>
      </c>
      <c r="B33" s="2" t="s">
        <v>107</v>
      </c>
      <c r="C33" s="2" t="s">
        <v>108</v>
      </c>
      <c r="D33" s="2" t="s">
        <v>87</v>
      </c>
      <c r="E33" s="3">
        <v>0</v>
      </c>
      <c r="F33" s="2" t="s">
        <v>105</v>
      </c>
      <c r="G33" s="2" t="s">
        <v>109</v>
      </c>
      <c r="H33" s="2" t="s">
        <v>17</v>
      </c>
    </row>
    <row r="34" spans="1:8" ht="28.5">
      <c r="A34" s="2" t="s">
        <v>76</v>
      </c>
      <c r="B34" s="2" t="s">
        <v>110</v>
      </c>
      <c r="C34" s="2" t="s">
        <v>111</v>
      </c>
      <c r="D34" s="2" t="s">
        <v>87</v>
      </c>
      <c r="E34" s="3">
        <v>0</v>
      </c>
      <c r="F34" s="2" t="s">
        <v>105</v>
      </c>
      <c r="G34" s="2" t="s">
        <v>112</v>
      </c>
      <c r="H34" s="2" t="s">
        <v>17</v>
      </c>
    </row>
    <row r="35" spans="1:8" ht="28.5">
      <c r="A35" s="2" t="s">
        <v>76</v>
      </c>
      <c r="B35" s="2" t="s">
        <v>113</v>
      </c>
      <c r="C35" s="2" t="s">
        <v>114</v>
      </c>
      <c r="D35" s="2" t="s">
        <v>115</v>
      </c>
      <c r="E35" s="3">
        <v>2</v>
      </c>
      <c r="F35" s="2" t="s">
        <v>116</v>
      </c>
      <c r="G35" s="2" t="s">
        <v>117</v>
      </c>
      <c r="H35" s="2" t="s">
        <v>17</v>
      </c>
    </row>
    <row r="36" spans="1:8" ht="28.5">
      <c r="A36" s="2" t="s">
        <v>76</v>
      </c>
      <c r="B36" s="2" t="s">
        <v>118</v>
      </c>
      <c r="C36" s="2" t="s">
        <v>119</v>
      </c>
      <c r="D36" s="2" t="s">
        <v>120</v>
      </c>
      <c r="E36" s="3">
        <v>1</v>
      </c>
      <c r="F36" s="2" t="s">
        <v>121</v>
      </c>
      <c r="G36" s="2" t="s">
        <v>122</v>
      </c>
      <c r="H36" s="2" t="s">
        <v>17</v>
      </c>
    </row>
    <row r="37" spans="1:8" ht="28.5">
      <c r="A37" s="2" t="s">
        <v>76</v>
      </c>
      <c r="B37" s="2" t="s">
        <v>123</v>
      </c>
      <c r="C37" s="2" t="s">
        <v>124</v>
      </c>
      <c r="D37" s="2" t="s">
        <v>37</v>
      </c>
      <c r="E37" s="3">
        <v>2</v>
      </c>
      <c r="F37" s="2" t="s">
        <v>87</v>
      </c>
      <c r="G37" s="2" t="s">
        <v>125</v>
      </c>
      <c r="H37" s="2" t="s">
        <v>17</v>
      </c>
    </row>
    <row r="38" spans="1:8" ht="28.5">
      <c r="A38" s="2" t="s">
        <v>76</v>
      </c>
      <c r="B38" s="2" t="s">
        <v>126</v>
      </c>
      <c r="C38" s="2" t="s">
        <v>127</v>
      </c>
      <c r="D38" s="2" t="s">
        <v>87</v>
      </c>
      <c r="E38" s="3">
        <v>4</v>
      </c>
      <c r="F38" s="2" t="s">
        <v>15</v>
      </c>
      <c r="G38" s="2" t="s">
        <v>128</v>
      </c>
      <c r="H38" s="2" t="s">
        <v>17</v>
      </c>
    </row>
    <row r="39" spans="1:8" ht="28.5">
      <c r="A39" s="2" t="s">
        <v>76</v>
      </c>
      <c r="B39" s="2" t="s">
        <v>129</v>
      </c>
      <c r="C39" s="2" t="s">
        <v>130</v>
      </c>
      <c r="D39" s="2" t="s">
        <v>131</v>
      </c>
      <c r="E39" s="3">
        <v>4</v>
      </c>
      <c r="F39" s="2" t="s">
        <v>20</v>
      </c>
      <c r="G39" s="2" t="s">
        <v>132</v>
      </c>
      <c r="H39" s="2" t="s">
        <v>17</v>
      </c>
    </row>
    <row r="40" spans="1:8" ht="28.5">
      <c r="A40" s="2" t="s">
        <v>76</v>
      </c>
      <c r="B40" s="2" t="s">
        <v>133</v>
      </c>
      <c r="C40" s="2" t="s">
        <v>134</v>
      </c>
      <c r="D40" s="2" t="s">
        <v>14</v>
      </c>
      <c r="E40" s="3">
        <v>4</v>
      </c>
      <c r="F40" s="2" t="s">
        <v>20</v>
      </c>
      <c r="G40" s="2" t="s">
        <v>135</v>
      </c>
      <c r="H40" s="2" t="s">
        <v>17</v>
      </c>
    </row>
    <row r="41" spans="1:8" ht="28.5">
      <c r="A41" s="2" t="s">
        <v>76</v>
      </c>
      <c r="B41" s="2" t="s">
        <v>136</v>
      </c>
      <c r="C41" s="2" t="s">
        <v>137</v>
      </c>
      <c r="D41" s="2" t="s">
        <v>14</v>
      </c>
      <c r="E41" s="3">
        <v>4</v>
      </c>
      <c r="F41" s="2" t="s">
        <v>20</v>
      </c>
      <c r="G41" s="2" t="s">
        <v>138</v>
      </c>
      <c r="H41" s="2" t="s">
        <v>17</v>
      </c>
    </row>
    <row r="42" spans="1:8" ht="28.5">
      <c r="A42" s="2" t="s">
        <v>76</v>
      </c>
      <c r="B42" s="2" t="s">
        <v>139</v>
      </c>
      <c r="C42" s="2" t="s">
        <v>140</v>
      </c>
      <c r="D42" s="2" t="s">
        <v>14</v>
      </c>
      <c r="E42" s="3">
        <v>4</v>
      </c>
      <c r="F42" s="2" t="s">
        <v>20</v>
      </c>
      <c r="G42" s="2" t="s">
        <v>138</v>
      </c>
      <c r="H42" s="2" t="s">
        <v>17</v>
      </c>
    </row>
    <row r="43" spans="1:8" ht="28.5">
      <c r="A43" s="2" t="s">
        <v>76</v>
      </c>
      <c r="B43" s="2" t="s">
        <v>141</v>
      </c>
      <c r="C43" s="2" t="s">
        <v>142</v>
      </c>
      <c r="D43" s="2" t="s">
        <v>87</v>
      </c>
      <c r="E43" s="3">
        <v>3</v>
      </c>
      <c r="F43" s="2" t="s">
        <v>143</v>
      </c>
      <c r="G43" s="2" t="s">
        <v>138</v>
      </c>
      <c r="H43" s="2" t="s">
        <v>17</v>
      </c>
    </row>
    <row r="44" spans="1:8" ht="28.5">
      <c r="A44" s="2" t="s">
        <v>76</v>
      </c>
      <c r="B44" s="2" t="s">
        <v>144</v>
      </c>
      <c r="C44" s="2" t="s">
        <v>145</v>
      </c>
      <c r="D44" s="2" t="s">
        <v>87</v>
      </c>
      <c r="E44" s="3">
        <v>2</v>
      </c>
      <c r="F44" s="2" t="s">
        <v>146</v>
      </c>
      <c r="G44" s="2" t="s">
        <v>138</v>
      </c>
      <c r="H44" s="2" t="s">
        <v>17</v>
      </c>
    </row>
    <row r="45" spans="1:8" ht="28.5">
      <c r="A45" s="2" t="s">
        <v>76</v>
      </c>
      <c r="B45" s="2" t="s">
        <v>147</v>
      </c>
      <c r="C45" s="2" t="s">
        <v>148</v>
      </c>
      <c r="D45" s="2" t="s">
        <v>14</v>
      </c>
      <c r="E45" s="3">
        <v>3</v>
      </c>
      <c r="F45" s="2" t="s">
        <v>20</v>
      </c>
      <c r="G45" s="2" t="s">
        <v>149</v>
      </c>
      <c r="H45" s="2" t="s">
        <v>17</v>
      </c>
    </row>
    <row r="46" spans="1:8" ht="28.5">
      <c r="A46" s="2" t="s">
        <v>76</v>
      </c>
      <c r="B46" s="2" t="s">
        <v>150</v>
      </c>
      <c r="C46" s="2" t="s">
        <v>151</v>
      </c>
      <c r="D46" s="2" t="s">
        <v>152</v>
      </c>
      <c r="E46" s="3">
        <v>5</v>
      </c>
      <c r="F46" s="2" t="s">
        <v>20</v>
      </c>
      <c r="G46" s="2" t="s">
        <v>153</v>
      </c>
      <c r="H46" s="2" t="s">
        <v>17</v>
      </c>
    </row>
    <row r="47" spans="1:8" ht="28.5">
      <c r="A47" s="2" t="s">
        <v>47</v>
      </c>
      <c r="B47" s="2" t="s">
        <v>154</v>
      </c>
      <c r="C47" s="2" t="s">
        <v>155</v>
      </c>
      <c r="D47" s="2" t="s">
        <v>156</v>
      </c>
      <c r="E47" s="3">
        <v>3</v>
      </c>
      <c r="F47" s="2" t="s">
        <v>157</v>
      </c>
      <c r="G47" s="2" t="s">
        <v>158</v>
      </c>
      <c r="H47" s="2" t="s">
        <v>17</v>
      </c>
    </row>
    <row r="48" spans="1:8" ht="28.5">
      <c r="A48" s="2" t="s">
        <v>47</v>
      </c>
      <c r="B48" s="2" t="s">
        <v>159</v>
      </c>
      <c r="C48" s="2" t="s">
        <v>160</v>
      </c>
      <c r="D48" s="2" t="s">
        <v>156</v>
      </c>
      <c r="E48" s="3">
        <v>1</v>
      </c>
      <c r="F48" s="2" t="s">
        <v>58</v>
      </c>
      <c r="G48" s="2" t="s">
        <v>161</v>
      </c>
      <c r="H48" s="2" t="s">
        <v>17</v>
      </c>
    </row>
    <row r="49" spans="1:8" ht="28.5">
      <c r="A49" s="2" t="s">
        <v>47</v>
      </c>
      <c r="B49" s="2" t="s">
        <v>162</v>
      </c>
      <c r="C49" s="2" t="s">
        <v>163</v>
      </c>
      <c r="D49" s="2" t="s">
        <v>156</v>
      </c>
      <c r="E49" s="3">
        <v>3</v>
      </c>
      <c r="F49" s="2" t="s">
        <v>164</v>
      </c>
      <c r="G49" s="2" t="s">
        <v>165</v>
      </c>
      <c r="H49" s="2" t="s">
        <v>17</v>
      </c>
    </row>
    <row r="50" spans="1:8" ht="28.5">
      <c r="A50" s="2" t="s">
        <v>47</v>
      </c>
      <c r="B50" s="2" t="s">
        <v>166</v>
      </c>
      <c r="C50" s="2" t="s">
        <v>167</v>
      </c>
      <c r="D50" s="2" t="s">
        <v>156</v>
      </c>
      <c r="E50" s="3">
        <v>3</v>
      </c>
      <c r="F50" s="2" t="s">
        <v>164</v>
      </c>
      <c r="G50" s="2" t="s">
        <v>101</v>
      </c>
      <c r="H50" s="2" t="s">
        <v>17</v>
      </c>
    </row>
    <row r="51" spans="1:8" ht="28.5">
      <c r="A51" s="2" t="s">
        <v>47</v>
      </c>
      <c r="B51" s="2" t="s">
        <v>168</v>
      </c>
      <c r="C51" s="2" t="s">
        <v>169</v>
      </c>
      <c r="D51" s="2" t="s">
        <v>156</v>
      </c>
      <c r="E51" s="3">
        <v>3</v>
      </c>
      <c r="F51" s="2" t="s">
        <v>164</v>
      </c>
      <c r="G51" s="2" t="s">
        <v>101</v>
      </c>
      <c r="H51" s="2" t="s">
        <v>17</v>
      </c>
    </row>
    <row r="52" spans="1:8" ht="28.5">
      <c r="A52" s="2" t="s">
        <v>47</v>
      </c>
      <c r="B52" s="2" t="s">
        <v>170</v>
      </c>
      <c r="C52" s="2" t="s">
        <v>171</v>
      </c>
      <c r="D52" s="2" t="s">
        <v>156</v>
      </c>
      <c r="E52" s="3">
        <v>3</v>
      </c>
      <c r="F52" s="2" t="s">
        <v>164</v>
      </c>
      <c r="G52" s="2" t="s">
        <v>101</v>
      </c>
      <c r="H52" s="2" t="s">
        <v>17</v>
      </c>
    </row>
    <row r="53" spans="1:8" ht="28.5">
      <c r="A53" s="2" t="s">
        <v>47</v>
      </c>
      <c r="B53" s="2" t="s">
        <v>172</v>
      </c>
      <c r="C53" s="2" t="s">
        <v>173</v>
      </c>
      <c r="D53" s="2" t="s">
        <v>156</v>
      </c>
      <c r="E53" s="3">
        <v>3</v>
      </c>
      <c r="F53" s="2" t="s">
        <v>164</v>
      </c>
      <c r="G53" s="2" t="s">
        <v>174</v>
      </c>
      <c r="H53" s="2" t="s">
        <v>17</v>
      </c>
    </row>
    <row r="54" spans="1:8" ht="28.5">
      <c r="A54" s="2" t="s">
        <v>47</v>
      </c>
      <c r="B54" s="2" t="s">
        <v>175</v>
      </c>
      <c r="C54" s="2" t="s">
        <v>176</v>
      </c>
      <c r="D54" s="2" t="s">
        <v>156</v>
      </c>
      <c r="E54" s="3">
        <v>3</v>
      </c>
      <c r="F54" s="2" t="s">
        <v>164</v>
      </c>
      <c r="G54" s="2" t="s">
        <v>177</v>
      </c>
      <c r="H54" s="2" t="s">
        <v>17</v>
      </c>
    </row>
    <row r="55" spans="1:8" ht="28.5">
      <c r="A55" s="2" t="s">
        <v>47</v>
      </c>
      <c r="B55" s="2" t="s">
        <v>178</v>
      </c>
      <c r="C55" s="2" t="s">
        <v>179</v>
      </c>
      <c r="D55" s="2" t="s">
        <v>156</v>
      </c>
      <c r="E55" s="3">
        <v>3</v>
      </c>
      <c r="F55" s="2" t="s">
        <v>164</v>
      </c>
      <c r="G55" s="2" t="s">
        <v>180</v>
      </c>
      <c r="H55" s="2" t="s">
        <v>17</v>
      </c>
    </row>
    <row r="56" spans="1:8" ht="28.5">
      <c r="A56" s="2" t="s">
        <v>47</v>
      </c>
      <c r="B56" s="2" t="s">
        <v>181</v>
      </c>
      <c r="C56" s="2" t="s">
        <v>182</v>
      </c>
      <c r="D56" s="2" t="s">
        <v>156</v>
      </c>
      <c r="E56" s="3">
        <v>3</v>
      </c>
      <c r="F56" s="2" t="s">
        <v>164</v>
      </c>
      <c r="G56" s="2" t="s">
        <v>183</v>
      </c>
      <c r="H56" s="2" t="s">
        <v>17</v>
      </c>
    </row>
    <row r="57" spans="1:8" ht="28.5">
      <c r="A57" s="2" t="s">
        <v>47</v>
      </c>
      <c r="B57" s="2" t="s">
        <v>184</v>
      </c>
      <c r="C57" s="2" t="s">
        <v>185</v>
      </c>
      <c r="D57" s="2" t="s">
        <v>186</v>
      </c>
      <c r="E57" s="3">
        <v>3</v>
      </c>
      <c r="F57" s="2" t="s">
        <v>58</v>
      </c>
      <c r="G57" s="2" t="s">
        <v>187</v>
      </c>
      <c r="H57" s="2" t="s">
        <v>17</v>
      </c>
    </row>
    <row r="58" spans="1:8" ht="28.5">
      <c r="A58" s="2" t="s">
        <v>47</v>
      </c>
      <c r="B58" s="2" t="s">
        <v>188</v>
      </c>
      <c r="C58" s="2" t="s">
        <v>189</v>
      </c>
      <c r="D58" s="2" t="s">
        <v>156</v>
      </c>
      <c r="E58" s="3">
        <v>4</v>
      </c>
      <c r="F58" s="2" t="s">
        <v>190</v>
      </c>
      <c r="G58" s="2" t="s">
        <v>191</v>
      </c>
      <c r="H58" s="2" t="s">
        <v>17</v>
      </c>
    </row>
    <row r="59" spans="1:8" ht="28.5">
      <c r="A59" s="2" t="s">
        <v>47</v>
      </c>
      <c r="B59" s="2" t="s">
        <v>192</v>
      </c>
      <c r="C59" s="2" t="s">
        <v>193</v>
      </c>
      <c r="D59" s="2" t="s">
        <v>156</v>
      </c>
      <c r="E59" s="3">
        <v>2</v>
      </c>
      <c r="F59" s="2" t="s">
        <v>15</v>
      </c>
      <c r="G59" s="2" t="s">
        <v>180</v>
      </c>
      <c r="H59" s="2" t="s">
        <v>17</v>
      </c>
    </row>
    <row r="60" spans="1:8" ht="28.5">
      <c r="A60" s="2" t="s">
        <v>47</v>
      </c>
      <c r="B60" s="2" t="s">
        <v>194</v>
      </c>
      <c r="C60" s="2" t="s">
        <v>195</v>
      </c>
      <c r="D60" s="2" t="s">
        <v>156</v>
      </c>
      <c r="E60" s="3">
        <v>3</v>
      </c>
      <c r="F60" s="2" t="s">
        <v>164</v>
      </c>
      <c r="G60" s="2" t="s">
        <v>196</v>
      </c>
      <c r="H60" s="2" t="s">
        <v>17</v>
      </c>
    </row>
    <row r="61" spans="1:8" ht="28.5">
      <c r="A61" s="2" t="s">
        <v>197</v>
      </c>
      <c r="B61" s="2" t="s">
        <v>198</v>
      </c>
      <c r="C61" s="2" t="s">
        <v>199</v>
      </c>
      <c r="D61" s="2" t="s">
        <v>200</v>
      </c>
      <c r="E61" s="3">
        <v>5</v>
      </c>
      <c r="F61" s="2" t="s">
        <v>20</v>
      </c>
      <c r="G61" s="2" t="s">
        <v>201</v>
      </c>
      <c r="H61" s="2" t="s">
        <v>17</v>
      </c>
    </row>
    <row r="62" spans="1:8" ht="28.5">
      <c r="A62" s="2" t="s">
        <v>197</v>
      </c>
      <c r="B62" s="2" t="s">
        <v>202</v>
      </c>
      <c r="C62" s="2" t="s">
        <v>203</v>
      </c>
      <c r="D62" s="2" t="s">
        <v>200</v>
      </c>
      <c r="E62" s="3">
        <v>5</v>
      </c>
      <c r="F62" s="2" t="s">
        <v>20</v>
      </c>
      <c r="G62" s="2" t="s">
        <v>204</v>
      </c>
      <c r="H62" s="2" t="s">
        <v>17</v>
      </c>
    </row>
    <row r="63" spans="1:8" ht="28.5">
      <c r="A63" s="2" t="s">
        <v>197</v>
      </c>
      <c r="B63" s="2" t="s">
        <v>205</v>
      </c>
      <c r="C63" s="2" t="s">
        <v>206</v>
      </c>
      <c r="D63" s="2" t="s">
        <v>200</v>
      </c>
      <c r="E63" s="3">
        <v>4</v>
      </c>
      <c r="F63" s="2" t="s">
        <v>20</v>
      </c>
      <c r="G63" s="2" t="s">
        <v>207</v>
      </c>
      <c r="H63" s="2" t="s">
        <v>17</v>
      </c>
    </row>
    <row r="64" spans="1:8" ht="28.5">
      <c r="A64" s="2" t="s">
        <v>197</v>
      </c>
      <c r="B64" s="2" t="s">
        <v>208</v>
      </c>
      <c r="C64" s="2" t="s">
        <v>209</v>
      </c>
      <c r="D64" s="2" t="s">
        <v>200</v>
      </c>
      <c r="E64" s="3">
        <v>3</v>
      </c>
      <c r="F64" s="2" t="s">
        <v>20</v>
      </c>
      <c r="G64" s="2" t="s">
        <v>210</v>
      </c>
      <c r="H64" s="2" t="s">
        <v>17</v>
      </c>
    </row>
    <row r="65" spans="1:8" ht="28.5">
      <c r="A65" s="2" t="s">
        <v>197</v>
      </c>
      <c r="B65" s="2" t="s">
        <v>211</v>
      </c>
      <c r="C65" s="2" t="s">
        <v>212</v>
      </c>
      <c r="D65" s="2" t="s">
        <v>200</v>
      </c>
      <c r="E65" s="3">
        <v>4</v>
      </c>
      <c r="F65" s="2" t="s">
        <v>20</v>
      </c>
      <c r="G65" s="2" t="s">
        <v>210</v>
      </c>
      <c r="H65" s="2" t="s">
        <v>17</v>
      </c>
    </row>
    <row r="66" spans="1:8" ht="28.5">
      <c r="A66" s="2" t="s">
        <v>197</v>
      </c>
      <c r="B66" s="2" t="s">
        <v>213</v>
      </c>
      <c r="C66" s="2" t="s">
        <v>214</v>
      </c>
      <c r="D66" s="2" t="s">
        <v>200</v>
      </c>
      <c r="E66" s="3">
        <v>2</v>
      </c>
      <c r="F66" s="2" t="s">
        <v>215</v>
      </c>
      <c r="G66" s="2" t="s">
        <v>216</v>
      </c>
      <c r="H66" s="2" t="s">
        <v>17</v>
      </c>
    </row>
    <row r="67" spans="1:8" ht="28.5">
      <c r="A67" s="2" t="s">
        <v>197</v>
      </c>
      <c r="B67" s="2" t="s">
        <v>217</v>
      </c>
      <c r="C67" s="2" t="s">
        <v>218</v>
      </c>
      <c r="D67" s="2" t="s">
        <v>87</v>
      </c>
      <c r="E67" s="3">
        <v>1</v>
      </c>
      <c r="F67" s="2" t="s">
        <v>219</v>
      </c>
      <c r="G67" s="2" t="s">
        <v>101</v>
      </c>
      <c r="H67" s="2" t="s">
        <v>17</v>
      </c>
    </row>
    <row r="68" spans="1:8" ht="28.5">
      <c r="A68" s="2" t="s">
        <v>197</v>
      </c>
      <c r="B68" s="2" t="s">
        <v>220</v>
      </c>
      <c r="C68" s="2" t="s">
        <v>221</v>
      </c>
      <c r="D68" s="2" t="s">
        <v>222</v>
      </c>
      <c r="E68" s="3">
        <v>0</v>
      </c>
      <c r="F68" s="2" t="s">
        <v>223</v>
      </c>
      <c r="G68" s="2" t="s">
        <v>224</v>
      </c>
      <c r="H68" s="2" t="s">
        <v>17</v>
      </c>
    </row>
    <row r="69" spans="1:8" ht="42.75">
      <c r="A69" s="2" t="s">
        <v>197</v>
      </c>
      <c r="B69" s="2" t="s">
        <v>225</v>
      </c>
      <c r="C69" s="2" t="s">
        <v>226</v>
      </c>
      <c r="D69" s="2" t="s">
        <v>186</v>
      </c>
      <c r="E69" s="3">
        <v>1</v>
      </c>
      <c r="F69" s="2" t="s">
        <v>227</v>
      </c>
      <c r="G69" s="2" t="s">
        <v>228</v>
      </c>
      <c r="H69" s="2" t="s">
        <v>17</v>
      </c>
    </row>
    <row r="70" spans="1:8" ht="28.5">
      <c r="A70" s="2" t="s">
        <v>197</v>
      </c>
      <c r="B70" s="2" t="s">
        <v>229</v>
      </c>
      <c r="C70" s="2" t="s">
        <v>230</v>
      </c>
      <c r="D70" s="2" t="s">
        <v>186</v>
      </c>
      <c r="E70" s="3">
        <v>1</v>
      </c>
      <c r="F70" s="2" t="s">
        <v>223</v>
      </c>
      <c r="G70" s="2" t="s">
        <v>231</v>
      </c>
      <c r="H70" s="2" t="s">
        <v>17</v>
      </c>
    </row>
    <row r="71" spans="1:8" ht="28.5">
      <c r="A71" s="2" t="s">
        <v>197</v>
      </c>
      <c r="B71" s="2" t="s">
        <v>232</v>
      </c>
      <c r="C71" s="2" t="s">
        <v>233</v>
      </c>
      <c r="D71" s="2" t="s">
        <v>186</v>
      </c>
      <c r="E71" s="3">
        <v>0</v>
      </c>
      <c r="F71" s="2" t="s">
        <v>105</v>
      </c>
      <c r="G71" s="2" t="s">
        <v>234</v>
      </c>
      <c r="H71" s="2" t="s">
        <v>17</v>
      </c>
    </row>
    <row r="72" spans="1:8" ht="28.5">
      <c r="A72" s="2" t="s">
        <v>235</v>
      </c>
      <c r="B72" s="2" t="s">
        <v>236</v>
      </c>
      <c r="C72" s="2" t="s">
        <v>237</v>
      </c>
      <c r="D72" s="2" t="s">
        <v>14</v>
      </c>
      <c r="E72" s="3">
        <v>5</v>
      </c>
      <c r="F72" s="2" t="s">
        <v>20</v>
      </c>
      <c r="G72" s="2" t="s">
        <v>238</v>
      </c>
      <c r="H72" s="2" t="s">
        <v>17</v>
      </c>
    </row>
    <row r="73" spans="1:8" ht="28.5">
      <c r="A73" s="2" t="s">
        <v>235</v>
      </c>
      <c r="B73" s="2" t="s">
        <v>239</v>
      </c>
      <c r="C73" s="2" t="s">
        <v>240</v>
      </c>
      <c r="D73" s="2" t="s">
        <v>14</v>
      </c>
      <c r="E73" s="3">
        <v>5</v>
      </c>
      <c r="F73" s="2" t="s">
        <v>20</v>
      </c>
      <c r="G73" s="2" t="s">
        <v>241</v>
      </c>
      <c r="H73" s="2" t="s">
        <v>17</v>
      </c>
    </row>
    <row r="74" spans="1:8" ht="28.5">
      <c r="A74" s="2" t="s">
        <v>235</v>
      </c>
      <c r="B74" s="2" t="s">
        <v>242</v>
      </c>
      <c r="C74" s="2" t="s">
        <v>243</v>
      </c>
      <c r="D74" s="2" t="s">
        <v>14</v>
      </c>
      <c r="E74" s="3">
        <v>5</v>
      </c>
      <c r="F74" s="2" t="s">
        <v>20</v>
      </c>
      <c r="G74" s="2" t="s">
        <v>238</v>
      </c>
      <c r="H74" s="2" t="s">
        <v>17</v>
      </c>
    </row>
    <row r="75" spans="1:8" ht="28.5">
      <c r="A75" s="2" t="s">
        <v>235</v>
      </c>
      <c r="B75" s="2" t="s">
        <v>244</v>
      </c>
      <c r="C75" s="2" t="s">
        <v>245</v>
      </c>
      <c r="D75" s="2" t="s">
        <v>14</v>
      </c>
      <c r="E75" s="3">
        <v>5</v>
      </c>
      <c r="F75" s="2" t="s">
        <v>20</v>
      </c>
      <c r="G75" s="2" t="s">
        <v>238</v>
      </c>
      <c r="H75" s="2" t="s">
        <v>17</v>
      </c>
    </row>
    <row r="76" spans="1:8" ht="28.5">
      <c r="A76" s="2" t="s">
        <v>235</v>
      </c>
      <c r="B76" s="2" t="s">
        <v>246</v>
      </c>
      <c r="C76" s="2" t="s">
        <v>247</v>
      </c>
      <c r="D76" s="2" t="s">
        <v>96</v>
      </c>
      <c r="E76" s="3">
        <v>5</v>
      </c>
      <c r="F76" s="2" t="s">
        <v>20</v>
      </c>
      <c r="G76" s="2" t="s">
        <v>238</v>
      </c>
      <c r="H76" s="2" t="s">
        <v>17</v>
      </c>
    </row>
    <row r="77" spans="1:8" ht="28.5">
      <c r="A77" s="2" t="s">
        <v>235</v>
      </c>
      <c r="B77" s="2" t="s">
        <v>248</v>
      </c>
      <c r="C77" s="2" t="s">
        <v>249</v>
      </c>
      <c r="D77" s="2" t="s">
        <v>87</v>
      </c>
      <c r="E77" s="3">
        <v>5</v>
      </c>
      <c r="F77" s="2" t="s">
        <v>20</v>
      </c>
      <c r="G77" s="2" t="s">
        <v>250</v>
      </c>
      <c r="H77" s="2" t="s">
        <v>17</v>
      </c>
    </row>
    <row r="78" spans="1:8" ht="28.5">
      <c r="A78" s="2" t="s">
        <v>235</v>
      </c>
      <c r="B78" s="2" t="s">
        <v>251</v>
      </c>
      <c r="C78" s="2" t="s">
        <v>252</v>
      </c>
      <c r="D78" s="2" t="s">
        <v>253</v>
      </c>
      <c r="E78" s="3">
        <v>4</v>
      </c>
      <c r="F78" s="2" t="s">
        <v>15</v>
      </c>
      <c r="G78" s="2" t="s">
        <v>254</v>
      </c>
      <c r="H78" s="2" t="s">
        <v>17</v>
      </c>
    </row>
    <row r="79" spans="1:8" ht="28.5">
      <c r="A79" s="2" t="s">
        <v>255</v>
      </c>
      <c r="B79" s="2" t="s">
        <v>256</v>
      </c>
      <c r="C79" s="2" t="s">
        <v>257</v>
      </c>
      <c r="D79" s="2" t="s">
        <v>14</v>
      </c>
      <c r="E79" s="3">
        <v>5</v>
      </c>
      <c r="F79" s="2" t="s">
        <v>20</v>
      </c>
      <c r="G79" s="2" t="s">
        <v>258</v>
      </c>
      <c r="H79" s="2" t="s">
        <v>17</v>
      </c>
    </row>
    <row r="80" spans="1:8" ht="28.5">
      <c r="A80" s="2" t="s">
        <v>255</v>
      </c>
      <c r="B80" s="2" t="s">
        <v>259</v>
      </c>
      <c r="C80" s="2" t="s">
        <v>260</v>
      </c>
      <c r="D80" s="2" t="s">
        <v>14</v>
      </c>
      <c r="E80" s="3">
        <v>5</v>
      </c>
      <c r="F80" s="2" t="s">
        <v>20</v>
      </c>
      <c r="G80" s="2" t="s">
        <v>261</v>
      </c>
      <c r="H80" s="2" t="s">
        <v>17</v>
      </c>
    </row>
    <row r="81" spans="1:8" ht="28.5">
      <c r="A81" s="2" t="s">
        <v>255</v>
      </c>
      <c r="B81" s="2" t="s">
        <v>262</v>
      </c>
      <c r="C81" s="2" t="s">
        <v>263</v>
      </c>
      <c r="D81" s="2" t="s">
        <v>264</v>
      </c>
      <c r="E81" s="3">
        <v>3</v>
      </c>
      <c r="F81" s="2" t="s">
        <v>63</v>
      </c>
      <c r="G81" s="2" t="s">
        <v>238</v>
      </c>
      <c r="H81" s="2" t="s">
        <v>17</v>
      </c>
    </row>
    <row r="82" spans="1:8" ht="28.5">
      <c r="A82" s="2" t="s">
        <v>255</v>
      </c>
      <c r="B82" s="2" t="s">
        <v>265</v>
      </c>
      <c r="C82" s="2" t="s">
        <v>266</v>
      </c>
      <c r="D82" s="2" t="s">
        <v>267</v>
      </c>
      <c r="E82" s="3">
        <v>5</v>
      </c>
      <c r="F82" s="2" t="s">
        <v>20</v>
      </c>
      <c r="G82" s="2" t="s">
        <v>268</v>
      </c>
      <c r="H82" s="2" t="s">
        <v>17</v>
      </c>
    </row>
    <row r="83" spans="1:8" ht="28.5">
      <c r="A83" s="2" t="s">
        <v>255</v>
      </c>
      <c r="B83" s="2" t="s">
        <v>269</v>
      </c>
      <c r="C83" s="2" t="s">
        <v>270</v>
      </c>
      <c r="D83" s="2" t="s">
        <v>267</v>
      </c>
      <c r="E83" s="3">
        <v>5</v>
      </c>
      <c r="F83" s="2" t="s">
        <v>20</v>
      </c>
      <c r="G83" s="2" t="s">
        <v>271</v>
      </c>
      <c r="H83" s="2" t="s">
        <v>17</v>
      </c>
    </row>
    <row r="84" spans="1:8" ht="28.5">
      <c r="A84" s="2" t="s">
        <v>255</v>
      </c>
      <c r="B84" s="2" t="s">
        <v>272</v>
      </c>
      <c r="C84" s="2" t="s">
        <v>273</v>
      </c>
      <c r="D84" s="2" t="s">
        <v>267</v>
      </c>
      <c r="E84" s="3">
        <v>4</v>
      </c>
      <c r="F84" s="2" t="s">
        <v>20</v>
      </c>
      <c r="G84" s="2" t="s">
        <v>274</v>
      </c>
      <c r="H84" s="2" t="s">
        <v>17</v>
      </c>
    </row>
    <row r="87" spans="1:8" ht="15">
      <c r="A87" s="7" t="s">
        <v>275</v>
      </c>
      <c r="B87" s="7"/>
      <c r="C87" s="7"/>
      <c r="D87" s="7"/>
    </row>
    <row r="88" spans="1:8">
      <c r="A88" t="s">
        <v>276</v>
      </c>
      <c r="B88">
        <f>COUNTIF(E6:E84,5)</f>
        <v>24</v>
      </c>
    </row>
    <row r="89" spans="1:8">
      <c r="A89" t="s">
        <v>277</v>
      </c>
      <c r="B89">
        <f>COUNTIF(E6:E84,4)</f>
        <v>17</v>
      </c>
    </row>
    <row r="90" spans="1:8">
      <c r="A90" t="s">
        <v>278</v>
      </c>
      <c r="B90">
        <f>COUNTIF(E6:E84,3)</f>
        <v>20</v>
      </c>
    </row>
    <row r="91" spans="1:8">
      <c r="A91" t="s">
        <v>279</v>
      </c>
      <c r="B91">
        <f>COUNTIF(E6:E84,2)</f>
        <v>7</v>
      </c>
    </row>
    <row r="92" spans="1:8">
      <c r="A92" t="s">
        <v>280</v>
      </c>
      <c r="B92">
        <f>COUNTIF(E6:E84,1)</f>
        <v>6</v>
      </c>
    </row>
    <row r="93" spans="1:8">
      <c r="A93" t="s">
        <v>281</v>
      </c>
      <c r="B93">
        <f>COUNTIF(E6:E84,0)</f>
        <v>5</v>
      </c>
    </row>
  </sheetData>
  <mergeCells count="4">
    <mergeCell ref="A1:H1"/>
    <mergeCell ref="A2:H2"/>
    <mergeCell ref="A3:H3"/>
    <mergeCell ref="A87:D87"/>
  </mergeCells>
  <conditionalFormatting sqref="E6:E84">
    <cfRule type="colorScale" priority="1">
      <colorScale>
        <cfvo type="min"/>
        <cfvo type="percentile" val="50"/>
        <cfvo type="max"/>
        <color rgb="FFE6E6E6"/>
        <color rgb="FFF9E49C"/>
        <color rgb="FFC6E8C6"/>
      </colorScale>
    </cfRule>
  </conditionalFormatting>
  <dataValidations count="2">
    <dataValidation type="list" sqref="E6:E84" xr:uid="{00000000-0002-0000-0000-000000000000}">
      <formula1>"0,1,2,3,4,5"</formula1>
    </dataValidation>
    <dataValidation type="list" sqref="F6:F84" xr:uid="{00000000-0002-0000-0000-000001000000}">
      <formula1>_xlfn._LONGTEXT("Keep,Modernize,Replace,Replace / modernize,Keep / remap,Keep if practical,Keep if FM retained,Keep via DSP,Keep compatibility,Replace hardware,Optional,Optional / drop,Drop,Drop / simplify,Drop / replace,Preserve vehicle safety dependency, replace UI as n","eeded")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7"/>
  <sheetViews>
    <sheetView tabSelected="1" topLeftCell="A78" workbookViewId="0">
      <selection activeCell="G114" sqref="G114"/>
    </sheetView>
  </sheetViews>
  <sheetFormatPr defaultRowHeight="14.25"/>
  <cols>
    <col min="1" max="1" width="23" customWidth="1"/>
    <col min="2" max="2" width="35" customWidth="1"/>
    <col min="3" max="3" width="58" customWidth="1"/>
    <col min="4" max="4" width="20" customWidth="1"/>
    <col min="5" max="5" width="15" customWidth="1"/>
    <col min="6" max="6" width="17" customWidth="1"/>
    <col min="7" max="7" width="38" customWidth="1"/>
    <col min="8" max="8" width="14" customWidth="1"/>
    <col min="9" max="9" width="48" customWidth="1"/>
  </cols>
  <sheetData>
    <row r="1" spans="1:9" ht="30" customHeight="1">
      <c r="A1" s="4" t="s">
        <v>282</v>
      </c>
      <c r="B1" s="4"/>
      <c r="C1" s="4"/>
      <c r="D1" s="4"/>
      <c r="E1" s="4"/>
      <c r="F1" s="4"/>
      <c r="G1" s="4"/>
      <c r="H1" s="4"/>
      <c r="I1" s="4"/>
    </row>
    <row r="2" spans="1:9" ht="44.1" customHeight="1">
      <c r="A2" s="5" t="s">
        <v>283</v>
      </c>
      <c r="B2" s="5"/>
      <c r="C2" s="5"/>
      <c r="D2" s="5"/>
      <c r="E2" s="5"/>
      <c r="F2" s="5"/>
      <c r="G2" s="5"/>
      <c r="H2" s="5"/>
      <c r="I2" s="5"/>
    </row>
    <row r="3" spans="1:9" ht="33.950000000000003" customHeight="1">
      <c r="A3" s="6" t="s">
        <v>2</v>
      </c>
      <c r="B3" s="6"/>
      <c r="C3" s="6"/>
      <c r="D3" s="6"/>
      <c r="E3" s="6"/>
      <c r="F3" s="6"/>
      <c r="G3" s="6"/>
      <c r="H3" s="6"/>
      <c r="I3" s="6"/>
    </row>
    <row r="5" spans="1:9" ht="42" customHeight="1">
      <c r="A5" s="1" t="s">
        <v>3</v>
      </c>
      <c r="B5" s="1" t="s">
        <v>284</v>
      </c>
      <c r="C5" s="1" t="s">
        <v>285</v>
      </c>
      <c r="D5" s="1" t="s">
        <v>286</v>
      </c>
      <c r="E5" s="1" t="s">
        <v>7</v>
      </c>
      <c r="F5" s="1" t="s">
        <v>287</v>
      </c>
      <c r="G5" s="1" t="s">
        <v>288</v>
      </c>
      <c r="H5" s="1" t="s">
        <v>289</v>
      </c>
      <c r="I5" s="1" t="s">
        <v>290</v>
      </c>
    </row>
    <row r="6" spans="1:9" ht="42.75">
      <c r="A6" s="2" t="s">
        <v>11</v>
      </c>
      <c r="B6" s="2" t="s">
        <v>291</v>
      </c>
      <c r="C6" s="2" t="s">
        <v>292</v>
      </c>
      <c r="D6" s="2" t="s">
        <v>293</v>
      </c>
      <c r="E6" s="3">
        <v>5</v>
      </c>
      <c r="F6" s="2" t="s">
        <v>294</v>
      </c>
      <c r="G6" s="2" t="s">
        <v>48</v>
      </c>
      <c r="H6" s="2" t="s">
        <v>295</v>
      </c>
      <c r="I6" s="2" t="s">
        <v>296</v>
      </c>
    </row>
    <row r="7" spans="1:9" ht="28.5">
      <c r="A7" s="2" t="s">
        <v>11</v>
      </c>
      <c r="B7" s="2" t="s">
        <v>297</v>
      </c>
      <c r="C7" s="2" t="s">
        <v>298</v>
      </c>
      <c r="D7" s="2" t="s">
        <v>293</v>
      </c>
      <c r="E7" s="3">
        <v>5</v>
      </c>
      <c r="F7" s="2" t="s">
        <v>294</v>
      </c>
      <c r="G7" s="2" t="s">
        <v>299</v>
      </c>
      <c r="H7" s="2" t="s">
        <v>300</v>
      </c>
      <c r="I7" s="2" t="s">
        <v>301</v>
      </c>
    </row>
    <row r="8" spans="1:9">
      <c r="A8" s="2" t="s">
        <v>11</v>
      </c>
      <c r="B8" s="2" t="s">
        <v>302</v>
      </c>
      <c r="C8" s="2" t="s">
        <v>303</v>
      </c>
      <c r="D8" s="2" t="s">
        <v>304</v>
      </c>
      <c r="E8" s="3">
        <v>5</v>
      </c>
      <c r="F8" s="2" t="s">
        <v>294</v>
      </c>
      <c r="G8" s="2" t="s">
        <v>305</v>
      </c>
      <c r="H8" s="2" t="s">
        <v>300</v>
      </c>
      <c r="I8" s="2" t="s">
        <v>306</v>
      </c>
    </row>
    <row r="9" spans="1:9">
      <c r="A9" s="2" t="s">
        <v>11</v>
      </c>
      <c r="B9" s="2" t="s">
        <v>307</v>
      </c>
      <c r="C9" s="2" t="s">
        <v>308</v>
      </c>
      <c r="D9" s="2" t="s">
        <v>293</v>
      </c>
      <c r="E9" s="3">
        <v>5</v>
      </c>
      <c r="F9" s="2" t="s">
        <v>294</v>
      </c>
      <c r="G9" s="2" t="s">
        <v>299</v>
      </c>
      <c r="H9" s="2" t="s">
        <v>300</v>
      </c>
      <c r="I9" s="2"/>
    </row>
    <row r="10" spans="1:9">
      <c r="A10" s="2" t="s">
        <v>11</v>
      </c>
      <c r="B10" s="2" t="s">
        <v>309</v>
      </c>
      <c r="C10" s="2" t="s">
        <v>310</v>
      </c>
      <c r="D10" s="2" t="s">
        <v>293</v>
      </c>
      <c r="E10" s="3">
        <v>4</v>
      </c>
      <c r="F10" s="2" t="s">
        <v>294</v>
      </c>
      <c r="G10" s="2" t="s">
        <v>165</v>
      </c>
      <c r="H10" s="2" t="s">
        <v>300</v>
      </c>
      <c r="I10" s="2"/>
    </row>
    <row r="11" spans="1:9">
      <c r="A11" s="2" t="s">
        <v>11</v>
      </c>
      <c r="B11" s="2" t="s">
        <v>311</v>
      </c>
      <c r="C11" s="2" t="s">
        <v>312</v>
      </c>
      <c r="D11" s="2" t="s">
        <v>293</v>
      </c>
      <c r="E11" s="3">
        <v>5</v>
      </c>
      <c r="F11" s="2" t="s">
        <v>294</v>
      </c>
      <c r="G11" s="2" t="s">
        <v>313</v>
      </c>
      <c r="H11" s="2" t="s">
        <v>300</v>
      </c>
      <c r="I11" s="2"/>
    </row>
    <row r="12" spans="1:9">
      <c r="A12" s="2" t="s">
        <v>11</v>
      </c>
      <c r="B12" s="2" t="s">
        <v>314</v>
      </c>
      <c r="C12" s="2" t="s">
        <v>315</v>
      </c>
      <c r="D12" s="2" t="s">
        <v>293</v>
      </c>
      <c r="E12" s="3">
        <v>4</v>
      </c>
      <c r="F12" s="2" t="s">
        <v>294</v>
      </c>
      <c r="G12" s="2" t="s">
        <v>48</v>
      </c>
      <c r="H12" s="2" t="s">
        <v>295</v>
      </c>
      <c r="I12" s="2"/>
    </row>
    <row r="13" spans="1:9">
      <c r="A13" s="2" t="s">
        <v>11</v>
      </c>
      <c r="B13" s="2" t="s">
        <v>316</v>
      </c>
      <c r="C13" s="2" t="s">
        <v>317</v>
      </c>
      <c r="D13" s="2" t="s">
        <v>293</v>
      </c>
      <c r="E13" s="3">
        <v>3</v>
      </c>
      <c r="F13" s="2" t="s">
        <v>318</v>
      </c>
      <c r="G13" s="2" t="s">
        <v>319</v>
      </c>
      <c r="H13" s="2" t="s">
        <v>300</v>
      </c>
      <c r="I13" s="2"/>
    </row>
    <row r="14" spans="1:9" ht="28.5">
      <c r="A14" s="2" t="s">
        <v>11</v>
      </c>
      <c r="B14" s="2" t="s">
        <v>320</v>
      </c>
      <c r="C14" s="2" t="s">
        <v>321</v>
      </c>
      <c r="D14" s="2" t="s">
        <v>304</v>
      </c>
      <c r="E14" s="3">
        <v>4</v>
      </c>
      <c r="F14" s="2" t="s">
        <v>294</v>
      </c>
      <c r="G14" s="2" t="s">
        <v>165</v>
      </c>
      <c r="H14" s="2" t="s">
        <v>300</v>
      </c>
      <c r="I14" s="2"/>
    </row>
    <row r="15" spans="1:9" ht="28.5">
      <c r="A15" s="2" t="s">
        <v>11</v>
      </c>
      <c r="B15" s="2" t="s">
        <v>322</v>
      </c>
      <c r="C15" s="2" t="s">
        <v>323</v>
      </c>
      <c r="D15" s="2" t="s">
        <v>324</v>
      </c>
      <c r="E15" s="3">
        <v>5</v>
      </c>
      <c r="F15" s="2" t="s">
        <v>294</v>
      </c>
      <c r="G15" s="2" t="s">
        <v>325</v>
      </c>
      <c r="H15" s="2" t="s">
        <v>326</v>
      </c>
      <c r="I15" s="2" t="s">
        <v>327</v>
      </c>
    </row>
    <row r="16" spans="1:9">
      <c r="A16" s="2" t="s">
        <v>11</v>
      </c>
      <c r="B16" s="2" t="s">
        <v>328</v>
      </c>
      <c r="C16" s="2" t="s">
        <v>329</v>
      </c>
      <c r="D16" s="2" t="s">
        <v>324</v>
      </c>
      <c r="E16" s="3">
        <v>5</v>
      </c>
      <c r="F16" s="2" t="s">
        <v>294</v>
      </c>
      <c r="G16" s="2" t="s">
        <v>48</v>
      </c>
      <c r="H16" s="2" t="s">
        <v>326</v>
      </c>
      <c r="I16" s="2" t="s">
        <v>330</v>
      </c>
    </row>
    <row r="17" spans="1:9" ht="28.5">
      <c r="A17" s="2" t="s">
        <v>65</v>
      </c>
      <c r="B17" s="2" t="s">
        <v>331</v>
      </c>
      <c r="C17" s="2" t="s">
        <v>332</v>
      </c>
      <c r="D17" s="2" t="s">
        <v>324</v>
      </c>
      <c r="E17" s="3">
        <v>5</v>
      </c>
      <c r="F17" s="2" t="s">
        <v>294</v>
      </c>
      <c r="G17" s="2" t="s">
        <v>333</v>
      </c>
      <c r="H17" s="2" t="s">
        <v>326</v>
      </c>
      <c r="I17" s="2" t="s">
        <v>334</v>
      </c>
    </row>
    <row r="18" spans="1:9" ht="28.5">
      <c r="A18" s="2" t="s">
        <v>65</v>
      </c>
      <c r="B18" s="2" t="s">
        <v>335</v>
      </c>
      <c r="C18" s="2" t="s">
        <v>336</v>
      </c>
      <c r="D18" s="2" t="s">
        <v>324</v>
      </c>
      <c r="E18" s="3">
        <v>5</v>
      </c>
      <c r="F18" s="2" t="s">
        <v>294</v>
      </c>
      <c r="G18" s="2" t="s">
        <v>337</v>
      </c>
      <c r="H18" s="2" t="s">
        <v>295</v>
      </c>
      <c r="I18" s="2" t="s">
        <v>338</v>
      </c>
    </row>
    <row r="19" spans="1:9">
      <c r="A19" s="2" t="s">
        <v>65</v>
      </c>
      <c r="B19" s="2" t="s">
        <v>339</v>
      </c>
      <c r="C19" s="2" t="s">
        <v>340</v>
      </c>
      <c r="D19" s="2" t="s">
        <v>324</v>
      </c>
      <c r="E19" s="3">
        <v>4</v>
      </c>
      <c r="F19" s="2" t="s">
        <v>294</v>
      </c>
      <c r="G19" s="2" t="s">
        <v>341</v>
      </c>
      <c r="H19" s="2" t="s">
        <v>300</v>
      </c>
      <c r="I19" s="2"/>
    </row>
    <row r="20" spans="1:9">
      <c r="A20" s="2" t="s">
        <v>65</v>
      </c>
      <c r="B20" s="2" t="s">
        <v>342</v>
      </c>
      <c r="C20" s="2" t="s">
        <v>343</v>
      </c>
      <c r="D20" s="2" t="s">
        <v>324</v>
      </c>
      <c r="E20" s="3">
        <v>5</v>
      </c>
      <c r="F20" s="2" t="s">
        <v>294</v>
      </c>
      <c r="G20" s="2" t="s">
        <v>344</v>
      </c>
      <c r="H20" s="2" t="s">
        <v>300</v>
      </c>
      <c r="I20" s="2" t="s">
        <v>345</v>
      </c>
    </row>
    <row r="21" spans="1:9" ht="28.5">
      <c r="A21" s="2" t="s">
        <v>65</v>
      </c>
      <c r="B21" s="2" t="s">
        <v>346</v>
      </c>
      <c r="C21" s="2" t="s">
        <v>347</v>
      </c>
      <c r="D21" s="2" t="s">
        <v>324</v>
      </c>
      <c r="E21" s="3">
        <v>5</v>
      </c>
      <c r="F21" s="2" t="s">
        <v>294</v>
      </c>
      <c r="G21" s="2" t="s">
        <v>348</v>
      </c>
      <c r="H21" s="2" t="s">
        <v>295</v>
      </c>
      <c r="I21" s="2" t="s">
        <v>349</v>
      </c>
    </row>
    <row r="22" spans="1:9">
      <c r="A22" s="2" t="s">
        <v>65</v>
      </c>
      <c r="B22" s="2" t="s">
        <v>350</v>
      </c>
      <c r="C22" s="2" t="s">
        <v>351</v>
      </c>
      <c r="D22" s="2" t="s">
        <v>324</v>
      </c>
      <c r="E22" s="3">
        <v>5</v>
      </c>
      <c r="F22" s="2" t="s">
        <v>294</v>
      </c>
      <c r="G22" s="2" t="s">
        <v>352</v>
      </c>
      <c r="H22" s="2" t="s">
        <v>326</v>
      </c>
      <c r="I22" s="2" t="s">
        <v>353</v>
      </c>
    </row>
    <row r="23" spans="1:9" ht="28.5">
      <c r="A23" s="2" t="s">
        <v>65</v>
      </c>
      <c r="B23" s="2" t="s">
        <v>354</v>
      </c>
      <c r="C23" s="2" t="s">
        <v>355</v>
      </c>
      <c r="D23" s="2" t="s">
        <v>324</v>
      </c>
      <c r="E23" s="3">
        <v>5</v>
      </c>
      <c r="F23" s="2" t="s">
        <v>294</v>
      </c>
      <c r="G23" s="2" t="s">
        <v>356</v>
      </c>
      <c r="H23" s="2" t="s">
        <v>300</v>
      </c>
      <c r="I23" s="2"/>
    </row>
    <row r="24" spans="1:9">
      <c r="A24" s="2" t="s">
        <v>65</v>
      </c>
      <c r="B24" s="2" t="s">
        <v>357</v>
      </c>
      <c r="C24" s="2" t="s">
        <v>358</v>
      </c>
      <c r="D24" s="2" t="s">
        <v>359</v>
      </c>
      <c r="E24" s="3">
        <v>5</v>
      </c>
      <c r="F24" s="2" t="s">
        <v>294</v>
      </c>
      <c r="G24" s="2" t="s">
        <v>360</v>
      </c>
      <c r="H24" s="2" t="s">
        <v>300</v>
      </c>
      <c r="I24" s="2"/>
    </row>
    <row r="25" spans="1:9">
      <c r="A25" s="2" t="s">
        <v>361</v>
      </c>
      <c r="B25" s="2" t="s">
        <v>362</v>
      </c>
      <c r="C25" s="2" t="s">
        <v>363</v>
      </c>
      <c r="D25" s="2" t="s">
        <v>324</v>
      </c>
      <c r="E25" s="3">
        <v>5</v>
      </c>
      <c r="F25" s="2" t="s">
        <v>294</v>
      </c>
      <c r="G25" s="2" t="s">
        <v>364</v>
      </c>
      <c r="H25" s="2" t="s">
        <v>295</v>
      </c>
      <c r="I25" s="2" t="s">
        <v>365</v>
      </c>
    </row>
    <row r="26" spans="1:9">
      <c r="A26" s="2" t="s">
        <v>361</v>
      </c>
      <c r="B26" s="2" t="s">
        <v>366</v>
      </c>
      <c r="C26" s="2" t="s">
        <v>367</v>
      </c>
      <c r="D26" s="2" t="s">
        <v>304</v>
      </c>
      <c r="E26" s="3">
        <v>4</v>
      </c>
      <c r="F26" s="2" t="s">
        <v>368</v>
      </c>
      <c r="G26" s="2" t="s">
        <v>369</v>
      </c>
      <c r="H26" s="2" t="s">
        <v>295</v>
      </c>
      <c r="I26" s="2" t="s">
        <v>370</v>
      </c>
    </row>
    <row r="27" spans="1:9">
      <c r="A27" s="2" t="s">
        <v>361</v>
      </c>
      <c r="B27" s="2" t="s">
        <v>371</v>
      </c>
      <c r="C27" s="2" t="s">
        <v>372</v>
      </c>
      <c r="D27" s="2" t="s">
        <v>304</v>
      </c>
      <c r="E27" s="3">
        <v>2</v>
      </c>
      <c r="F27" s="2" t="s">
        <v>373</v>
      </c>
      <c r="G27" s="2" t="s">
        <v>374</v>
      </c>
      <c r="H27" s="2" t="s">
        <v>295</v>
      </c>
      <c r="I27" s="2" t="s">
        <v>375</v>
      </c>
    </row>
    <row r="28" spans="1:9">
      <c r="A28" s="2" t="s">
        <v>361</v>
      </c>
      <c r="B28" s="2" t="s">
        <v>376</v>
      </c>
      <c r="C28" s="2" t="s">
        <v>377</v>
      </c>
      <c r="D28" s="2" t="s">
        <v>324</v>
      </c>
      <c r="E28" s="3">
        <v>5</v>
      </c>
      <c r="F28" s="2" t="s">
        <v>294</v>
      </c>
      <c r="G28" s="2" t="s">
        <v>378</v>
      </c>
      <c r="H28" s="2" t="s">
        <v>300</v>
      </c>
      <c r="I28" s="2"/>
    </row>
    <row r="29" spans="1:9">
      <c r="A29" s="2" t="s">
        <v>361</v>
      </c>
      <c r="B29" s="2" t="s">
        <v>379</v>
      </c>
      <c r="C29" s="2" t="s">
        <v>380</v>
      </c>
      <c r="D29" s="2" t="s">
        <v>324</v>
      </c>
      <c r="E29" s="3">
        <v>5</v>
      </c>
      <c r="F29" s="2" t="s">
        <v>294</v>
      </c>
      <c r="G29" s="2" t="s">
        <v>381</v>
      </c>
      <c r="H29" s="2" t="s">
        <v>300</v>
      </c>
      <c r="I29" s="2"/>
    </row>
    <row r="30" spans="1:9">
      <c r="A30" s="2" t="s">
        <v>361</v>
      </c>
      <c r="B30" s="2" t="s">
        <v>382</v>
      </c>
      <c r="C30" s="2" t="s">
        <v>383</v>
      </c>
      <c r="D30" s="2" t="s">
        <v>293</v>
      </c>
      <c r="E30" s="3">
        <v>5</v>
      </c>
      <c r="F30" s="2" t="s">
        <v>294</v>
      </c>
      <c r="G30" s="2" t="s">
        <v>384</v>
      </c>
      <c r="H30" s="2" t="s">
        <v>295</v>
      </c>
      <c r="I30" s="2"/>
    </row>
    <row r="31" spans="1:9" ht="28.5">
      <c r="A31" s="2" t="s">
        <v>361</v>
      </c>
      <c r="B31" s="2" t="s">
        <v>385</v>
      </c>
      <c r="C31" s="2" t="s">
        <v>386</v>
      </c>
      <c r="D31" s="2" t="s">
        <v>293</v>
      </c>
      <c r="E31" s="3">
        <v>4</v>
      </c>
      <c r="F31" s="2" t="s">
        <v>294</v>
      </c>
      <c r="G31" s="2" t="s">
        <v>387</v>
      </c>
      <c r="H31" s="2" t="s">
        <v>300</v>
      </c>
      <c r="I31" s="2"/>
    </row>
    <row r="32" spans="1:9" ht="28.5">
      <c r="A32" s="2" t="s">
        <v>361</v>
      </c>
      <c r="B32" s="2" t="s">
        <v>388</v>
      </c>
      <c r="C32" s="2" t="s">
        <v>619</v>
      </c>
      <c r="D32" s="2" t="s">
        <v>304</v>
      </c>
      <c r="E32" s="3">
        <v>5</v>
      </c>
      <c r="F32" s="2" t="s">
        <v>294</v>
      </c>
      <c r="G32" s="2" t="s">
        <v>389</v>
      </c>
      <c r="H32" s="2" t="s">
        <v>300</v>
      </c>
      <c r="I32" s="2"/>
    </row>
    <row r="33" spans="1:9">
      <c r="A33" s="2" t="s">
        <v>47</v>
      </c>
      <c r="B33" s="2" t="s">
        <v>390</v>
      </c>
      <c r="C33" s="2" t="s">
        <v>391</v>
      </c>
      <c r="D33" s="2" t="s">
        <v>304</v>
      </c>
      <c r="E33" s="3">
        <v>5</v>
      </c>
      <c r="F33" s="2" t="s">
        <v>294</v>
      </c>
      <c r="G33" s="2" t="s">
        <v>392</v>
      </c>
      <c r="H33" s="2" t="s">
        <v>295</v>
      </c>
      <c r="I33" s="2" t="s">
        <v>393</v>
      </c>
    </row>
    <row r="34" spans="1:9">
      <c r="A34" s="2" t="s">
        <v>47</v>
      </c>
      <c r="B34" s="2" t="s">
        <v>394</v>
      </c>
      <c r="C34" s="2" t="s">
        <v>395</v>
      </c>
      <c r="D34" s="2" t="s">
        <v>304</v>
      </c>
      <c r="E34" s="3">
        <v>2</v>
      </c>
      <c r="F34" s="2" t="s">
        <v>318</v>
      </c>
      <c r="G34" s="2" t="s">
        <v>396</v>
      </c>
      <c r="H34" s="2" t="s">
        <v>295</v>
      </c>
      <c r="I34" s="2" t="s">
        <v>397</v>
      </c>
    </row>
    <row r="35" spans="1:9" ht="28.5">
      <c r="A35" s="2" t="s">
        <v>47</v>
      </c>
      <c r="B35" s="2" t="s">
        <v>398</v>
      </c>
      <c r="C35" s="2" t="s">
        <v>399</v>
      </c>
      <c r="D35" s="2" t="s">
        <v>304</v>
      </c>
      <c r="E35" s="3">
        <v>3</v>
      </c>
      <c r="F35" s="2" t="s">
        <v>318</v>
      </c>
      <c r="G35" s="2" t="s">
        <v>400</v>
      </c>
      <c r="H35" s="2" t="s">
        <v>300</v>
      </c>
      <c r="I35" s="2"/>
    </row>
    <row r="36" spans="1:9" ht="28.5">
      <c r="A36" s="2" t="s">
        <v>47</v>
      </c>
      <c r="B36" s="2" t="s">
        <v>401</v>
      </c>
      <c r="C36" s="2" t="s">
        <v>402</v>
      </c>
      <c r="D36" s="2" t="s">
        <v>304</v>
      </c>
      <c r="E36" s="3">
        <v>2</v>
      </c>
      <c r="F36" s="2" t="s">
        <v>318</v>
      </c>
      <c r="G36" s="2" t="s">
        <v>42</v>
      </c>
      <c r="H36" s="2" t="s">
        <v>295</v>
      </c>
      <c r="I36" s="2" t="s">
        <v>403</v>
      </c>
    </row>
    <row r="37" spans="1:9">
      <c r="A37" s="2" t="s">
        <v>404</v>
      </c>
      <c r="B37" s="2" t="s">
        <v>80</v>
      </c>
      <c r="C37" s="2" t="s">
        <v>405</v>
      </c>
      <c r="D37" s="2" t="s">
        <v>293</v>
      </c>
      <c r="E37" s="3">
        <v>4</v>
      </c>
      <c r="F37" s="2" t="s">
        <v>294</v>
      </c>
      <c r="G37" s="2" t="s">
        <v>406</v>
      </c>
      <c r="H37" s="2" t="s">
        <v>300</v>
      </c>
      <c r="I37" s="2" t="s">
        <v>407</v>
      </c>
    </row>
    <row r="38" spans="1:9">
      <c r="A38" s="2" t="s">
        <v>404</v>
      </c>
      <c r="B38" s="2" t="s">
        <v>83</v>
      </c>
      <c r="C38" s="2" t="s">
        <v>408</v>
      </c>
      <c r="D38" s="2" t="s">
        <v>293</v>
      </c>
      <c r="E38" s="3">
        <v>2</v>
      </c>
      <c r="F38" s="2" t="s">
        <v>373</v>
      </c>
      <c r="G38" s="2" t="s">
        <v>406</v>
      </c>
      <c r="H38" s="2" t="s">
        <v>300</v>
      </c>
      <c r="I38" s="2"/>
    </row>
    <row r="39" spans="1:9">
      <c r="A39" s="2" t="s">
        <v>404</v>
      </c>
      <c r="B39" s="2" t="s">
        <v>85</v>
      </c>
      <c r="C39" s="2" t="s">
        <v>409</v>
      </c>
      <c r="D39" s="2" t="s">
        <v>410</v>
      </c>
      <c r="E39" s="3">
        <v>2</v>
      </c>
      <c r="F39" s="2" t="s">
        <v>373</v>
      </c>
      <c r="G39" s="2" t="s">
        <v>406</v>
      </c>
      <c r="H39" s="2" t="s">
        <v>300</v>
      </c>
      <c r="I39" s="2"/>
    </row>
    <row r="40" spans="1:9">
      <c r="A40" s="2" t="s">
        <v>404</v>
      </c>
      <c r="B40" s="2" t="s">
        <v>90</v>
      </c>
      <c r="C40" s="2" t="s">
        <v>411</v>
      </c>
      <c r="D40" s="2" t="s">
        <v>410</v>
      </c>
      <c r="E40" s="3">
        <v>1</v>
      </c>
      <c r="F40" s="2" t="s">
        <v>87</v>
      </c>
      <c r="G40" s="2" t="s">
        <v>412</v>
      </c>
      <c r="H40" s="2" t="s">
        <v>300</v>
      </c>
      <c r="I40" s="2"/>
    </row>
    <row r="41" spans="1:9">
      <c r="A41" s="2" t="s">
        <v>404</v>
      </c>
      <c r="B41" s="2" t="s">
        <v>413</v>
      </c>
      <c r="C41" s="2" t="s">
        <v>414</v>
      </c>
      <c r="D41" s="2" t="s">
        <v>293</v>
      </c>
      <c r="E41" s="3">
        <v>4</v>
      </c>
      <c r="F41" s="2" t="s">
        <v>294</v>
      </c>
      <c r="G41" s="2" t="s">
        <v>415</v>
      </c>
      <c r="H41" s="2" t="s">
        <v>300</v>
      </c>
      <c r="I41" s="2"/>
    </row>
    <row r="42" spans="1:9">
      <c r="A42" s="2" t="s">
        <v>404</v>
      </c>
      <c r="B42" s="2" t="s">
        <v>416</v>
      </c>
      <c r="C42" s="2" t="s">
        <v>417</v>
      </c>
      <c r="D42" s="2" t="s">
        <v>304</v>
      </c>
      <c r="E42" s="3">
        <v>3</v>
      </c>
      <c r="F42" s="2" t="s">
        <v>318</v>
      </c>
      <c r="G42" s="2" t="s">
        <v>418</v>
      </c>
      <c r="H42" s="2" t="s">
        <v>295</v>
      </c>
      <c r="I42" s="2" t="s">
        <v>419</v>
      </c>
    </row>
    <row r="43" spans="1:9">
      <c r="A43" s="2" t="s">
        <v>404</v>
      </c>
      <c r="B43" s="2" t="s">
        <v>123</v>
      </c>
      <c r="C43" s="2" t="s">
        <v>420</v>
      </c>
      <c r="D43" s="2" t="s">
        <v>293</v>
      </c>
      <c r="E43" s="3">
        <v>1</v>
      </c>
      <c r="F43" s="2" t="s">
        <v>87</v>
      </c>
      <c r="G43" s="2" t="s">
        <v>421</v>
      </c>
      <c r="H43" s="2" t="s">
        <v>300</v>
      </c>
      <c r="I43" s="2"/>
    </row>
    <row r="44" spans="1:9">
      <c r="A44" s="2" t="s">
        <v>404</v>
      </c>
      <c r="B44" s="2" t="s">
        <v>422</v>
      </c>
      <c r="C44" s="2" t="s">
        <v>423</v>
      </c>
      <c r="D44" s="2" t="s">
        <v>424</v>
      </c>
      <c r="E44" s="3">
        <v>0</v>
      </c>
      <c r="F44" s="2" t="s">
        <v>425</v>
      </c>
      <c r="G44" s="2" t="s">
        <v>106</v>
      </c>
      <c r="H44" s="2" t="s">
        <v>426</v>
      </c>
      <c r="I44" s="2" t="s">
        <v>427</v>
      </c>
    </row>
    <row r="45" spans="1:9">
      <c r="A45" s="2" t="s">
        <v>404</v>
      </c>
      <c r="B45" s="2" t="s">
        <v>428</v>
      </c>
      <c r="C45" s="2" t="s">
        <v>429</v>
      </c>
      <c r="D45" s="2" t="s">
        <v>304</v>
      </c>
      <c r="E45" s="3">
        <v>4</v>
      </c>
      <c r="F45" s="2" t="s">
        <v>294</v>
      </c>
      <c r="G45" s="2" t="s">
        <v>430</v>
      </c>
      <c r="H45" s="2" t="s">
        <v>300</v>
      </c>
      <c r="I45" s="2"/>
    </row>
    <row r="46" spans="1:9" ht="28.5">
      <c r="A46" s="2" t="s">
        <v>404</v>
      </c>
      <c r="B46" s="2" t="s">
        <v>431</v>
      </c>
      <c r="C46" s="2" t="s">
        <v>432</v>
      </c>
      <c r="D46" s="2" t="s">
        <v>14</v>
      </c>
      <c r="E46" s="3">
        <v>5</v>
      </c>
      <c r="F46" s="2" t="s">
        <v>294</v>
      </c>
      <c r="G46" s="2" t="s">
        <v>433</v>
      </c>
      <c r="H46" s="2" t="s">
        <v>295</v>
      </c>
      <c r="I46" s="2"/>
    </row>
    <row r="47" spans="1:9" ht="28.5">
      <c r="A47" s="2" t="s">
        <v>434</v>
      </c>
      <c r="B47" s="2" t="s">
        <v>435</v>
      </c>
      <c r="C47" s="2" t="s">
        <v>436</v>
      </c>
      <c r="D47" s="2" t="s">
        <v>324</v>
      </c>
      <c r="E47" s="3">
        <v>5</v>
      </c>
      <c r="F47" s="2" t="s">
        <v>294</v>
      </c>
      <c r="G47" s="2" t="s">
        <v>437</v>
      </c>
      <c r="H47" s="2" t="s">
        <v>295</v>
      </c>
      <c r="I47" s="2" t="s">
        <v>438</v>
      </c>
    </row>
    <row r="48" spans="1:9">
      <c r="A48" s="2" t="s">
        <v>434</v>
      </c>
      <c r="B48" s="2" t="s">
        <v>439</v>
      </c>
      <c r="C48" s="2" t="s">
        <v>440</v>
      </c>
      <c r="D48" s="2" t="s">
        <v>293</v>
      </c>
      <c r="E48" s="3">
        <v>5</v>
      </c>
      <c r="F48" s="2" t="s">
        <v>294</v>
      </c>
      <c r="G48" s="2" t="s">
        <v>441</v>
      </c>
      <c r="H48" s="2" t="s">
        <v>300</v>
      </c>
      <c r="I48" s="2"/>
    </row>
    <row r="49" spans="1:9">
      <c r="A49" s="2" t="s">
        <v>434</v>
      </c>
      <c r="B49" s="2" t="s">
        <v>442</v>
      </c>
      <c r="C49" s="2" t="s">
        <v>443</v>
      </c>
      <c r="D49" s="2" t="s">
        <v>293</v>
      </c>
      <c r="E49" s="3">
        <v>4</v>
      </c>
      <c r="F49" s="2" t="s">
        <v>294</v>
      </c>
      <c r="G49" s="2" t="s">
        <v>444</v>
      </c>
      <c r="H49" s="2" t="s">
        <v>300</v>
      </c>
      <c r="I49" s="2"/>
    </row>
    <row r="50" spans="1:9" ht="28.5">
      <c r="A50" s="2" t="s">
        <v>434</v>
      </c>
      <c r="B50" s="2" t="s">
        <v>445</v>
      </c>
      <c r="C50" s="2" t="s">
        <v>446</v>
      </c>
      <c r="D50" s="2" t="s">
        <v>304</v>
      </c>
      <c r="E50" s="3">
        <v>3</v>
      </c>
      <c r="F50" s="2" t="s">
        <v>318</v>
      </c>
      <c r="G50" s="2" t="s">
        <v>444</v>
      </c>
      <c r="H50" s="2" t="s">
        <v>300</v>
      </c>
      <c r="I50" s="2"/>
    </row>
    <row r="51" spans="1:9">
      <c r="A51" s="2" t="s">
        <v>434</v>
      </c>
      <c r="B51" s="2" t="s">
        <v>147</v>
      </c>
      <c r="C51" s="2" t="s">
        <v>447</v>
      </c>
      <c r="D51" s="2" t="s">
        <v>293</v>
      </c>
      <c r="E51" s="3">
        <v>3</v>
      </c>
      <c r="F51" s="2" t="s">
        <v>318</v>
      </c>
      <c r="G51" s="2" t="s">
        <v>448</v>
      </c>
      <c r="H51" s="2" t="s">
        <v>300</v>
      </c>
      <c r="I51" s="2"/>
    </row>
    <row r="52" spans="1:9" ht="28.5">
      <c r="A52" s="2" t="s">
        <v>434</v>
      </c>
      <c r="B52" s="2" t="s">
        <v>449</v>
      </c>
      <c r="C52" s="2" t="s">
        <v>450</v>
      </c>
      <c r="D52" s="2" t="s">
        <v>293</v>
      </c>
      <c r="E52" s="3">
        <v>5</v>
      </c>
      <c r="F52" s="2" t="s">
        <v>294</v>
      </c>
      <c r="G52" s="2" t="s">
        <v>451</v>
      </c>
      <c r="H52" s="2" t="s">
        <v>295</v>
      </c>
      <c r="I52" s="2" t="s">
        <v>452</v>
      </c>
    </row>
    <row r="53" spans="1:9">
      <c r="A53" s="2" t="s">
        <v>434</v>
      </c>
      <c r="B53" s="2" t="s">
        <v>453</v>
      </c>
      <c r="C53" s="2" t="s">
        <v>454</v>
      </c>
      <c r="D53" s="2" t="s">
        <v>304</v>
      </c>
      <c r="E53" s="3">
        <v>5</v>
      </c>
      <c r="F53" s="2" t="s">
        <v>294</v>
      </c>
      <c r="G53" s="2" t="s">
        <v>455</v>
      </c>
      <c r="H53" s="2" t="s">
        <v>295</v>
      </c>
      <c r="I53" s="2"/>
    </row>
    <row r="54" spans="1:9">
      <c r="A54" s="2" t="s">
        <v>434</v>
      </c>
      <c r="B54" s="2" t="s">
        <v>456</v>
      </c>
      <c r="C54" s="2" t="s">
        <v>457</v>
      </c>
      <c r="D54" s="2" t="s">
        <v>293</v>
      </c>
      <c r="E54" s="3">
        <v>5</v>
      </c>
      <c r="F54" s="2" t="s">
        <v>294</v>
      </c>
      <c r="G54" s="2" t="s">
        <v>458</v>
      </c>
      <c r="H54" s="2" t="s">
        <v>300</v>
      </c>
      <c r="I54" s="2"/>
    </row>
    <row r="55" spans="1:9">
      <c r="A55" s="2" t="s">
        <v>434</v>
      </c>
      <c r="B55" s="2" t="s">
        <v>459</v>
      </c>
      <c r="C55" s="2" t="s">
        <v>460</v>
      </c>
      <c r="D55" s="2" t="s">
        <v>304</v>
      </c>
      <c r="E55" s="3">
        <v>4</v>
      </c>
      <c r="F55" s="2" t="s">
        <v>368</v>
      </c>
      <c r="G55" s="2" t="s">
        <v>461</v>
      </c>
      <c r="H55" s="2" t="s">
        <v>295</v>
      </c>
      <c r="I55" s="2"/>
    </row>
    <row r="56" spans="1:9" ht="28.5">
      <c r="A56" s="2" t="s">
        <v>462</v>
      </c>
      <c r="B56" s="2" t="s">
        <v>463</v>
      </c>
      <c r="C56" s="2" t="s">
        <v>464</v>
      </c>
      <c r="D56" s="2" t="s">
        <v>324</v>
      </c>
      <c r="E56" s="3">
        <v>5</v>
      </c>
      <c r="F56" s="2" t="s">
        <v>294</v>
      </c>
      <c r="G56" s="2" t="s">
        <v>465</v>
      </c>
      <c r="H56" s="2" t="s">
        <v>326</v>
      </c>
      <c r="I56" s="2" t="s">
        <v>466</v>
      </c>
    </row>
    <row r="57" spans="1:9" ht="28.5">
      <c r="A57" s="2" t="s">
        <v>462</v>
      </c>
      <c r="B57" s="2" t="s">
        <v>467</v>
      </c>
      <c r="C57" s="2" t="s">
        <v>468</v>
      </c>
      <c r="D57" s="2" t="s">
        <v>359</v>
      </c>
      <c r="E57" s="3">
        <v>5</v>
      </c>
      <c r="F57" s="2" t="s">
        <v>294</v>
      </c>
      <c r="G57" s="2" t="s">
        <v>469</v>
      </c>
      <c r="H57" s="2" t="s">
        <v>326</v>
      </c>
      <c r="I57" s="2" t="s">
        <v>470</v>
      </c>
    </row>
    <row r="58" spans="1:9">
      <c r="A58" s="2" t="s">
        <v>462</v>
      </c>
      <c r="B58" s="2" t="s">
        <v>471</v>
      </c>
      <c r="C58" s="2" t="s">
        <v>472</v>
      </c>
      <c r="D58" s="2" t="s">
        <v>304</v>
      </c>
      <c r="E58" s="3">
        <v>4</v>
      </c>
      <c r="F58" s="2" t="s">
        <v>368</v>
      </c>
      <c r="G58" s="2" t="s">
        <v>473</v>
      </c>
      <c r="H58" s="2" t="s">
        <v>295</v>
      </c>
      <c r="I58" s="2"/>
    </row>
    <row r="59" spans="1:9">
      <c r="A59" s="2" t="s">
        <v>462</v>
      </c>
      <c r="B59" s="2" t="s">
        <v>474</v>
      </c>
      <c r="C59" s="2" t="s">
        <v>475</v>
      </c>
      <c r="D59" s="2" t="s">
        <v>293</v>
      </c>
      <c r="E59" s="3">
        <v>5</v>
      </c>
      <c r="F59" s="2" t="s">
        <v>294</v>
      </c>
      <c r="G59" s="2" t="s">
        <v>473</v>
      </c>
      <c r="H59" s="2" t="s">
        <v>300</v>
      </c>
      <c r="I59" s="2"/>
    </row>
    <row r="60" spans="1:9">
      <c r="A60" s="2" t="s">
        <v>462</v>
      </c>
      <c r="B60" s="2" t="s">
        <v>476</v>
      </c>
      <c r="C60" s="2" t="s">
        <v>477</v>
      </c>
      <c r="D60" s="2" t="s">
        <v>478</v>
      </c>
      <c r="E60" s="3">
        <v>1</v>
      </c>
      <c r="F60" s="2" t="s">
        <v>87</v>
      </c>
      <c r="G60" s="2" t="s">
        <v>479</v>
      </c>
      <c r="H60" s="2" t="s">
        <v>295</v>
      </c>
      <c r="I60" s="2"/>
    </row>
    <row r="61" spans="1:9">
      <c r="A61" s="2" t="s">
        <v>462</v>
      </c>
      <c r="B61" s="2" t="s">
        <v>480</v>
      </c>
      <c r="C61" s="2" t="s">
        <v>481</v>
      </c>
      <c r="D61" s="2" t="s">
        <v>478</v>
      </c>
      <c r="E61" s="3">
        <v>1</v>
      </c>
      <c r="F61" s="2" t="s">
        <v>87</v>
      </c>
      <c r="G61" s="2" t="s">
        <v>482</v>
      </c>
      <c r="H61" s="2" t="s">
        <v>326</v>
      </c>
      <c r="I61" s="2" t="s">
        <v>483</v>
      </c>
    </row>
    <row r="62" spans="1:9">
      <c r="A62" s="2" t="s">
        <v>462</v>
      </c>
      <c r="B62" s="2" t="s">
        <v>484</v>
      </c>
      <c r="C62" s="2" t="s">
        <v>485</v>
      </c>
      <c r="D62" s="2" t="s">
        <v>478</v>
      </c>
      <c r="E62" s="3">
        <v>1</v>
      </c>
      <c r="F62" s="2" t="s">
        <v>87</v>
      </c>
      <c r="G62" s="2" t="s">
        <v>486</v>
      </c>
      <c r="H62" s="2" t="s">
        <v>326</v>
      </c>
      <c r="I62" s="2" t="s">
        <v>487</v>
      </c>
    </row>
    <row r="63" spans="1:9" ht="28.5">
      <c r="A63" s="2" t="s">
        <v>488</v>
      </c>
      <c r="B63" s="2" t="s">
        <v>489</v>
      </c>
      <c r="C63" s="2" t="s">
        <v>490</v>
      </c>
      <c r="D63" s="2" t="s">
        <v>491</v>
      </c>
      <c r="E63" s="3">
        <v>5</v>
      </c>
      <c r="F63" s="2" t="s">
        <v>294</v>
      </c>
      <c r="G63" s="2" t="s">
        <v>492</v>
      </c>
      <c r="H63" s="2" t="s">
        <v>300</v>
      </c>
      <c r="I63" s="2" t="s">
        <v>493</v>
      </c>
    </row>
    <row r="64" spans="1:9" ht="28.5">
      <c r="A64" s="2" t="s">
        <v>488</v>
      </c>
      <c r="B64" s="2" t="s">
        <v>494</v>
      </c>
      <c r="C64" s="2" t="s">
        <v>495</v>
      </c>
      <c r="D64" s="2" t="s">
        <v>293</v>
      </c>
      <c r="E64" s="3">
        <v>5</v>
      </c>
      <c r="F64" s="2" t="s">
        <v>294</v>
      </c>
      <c r="G64" s="2" t="s">
        <v>238</v>
      </c>
      <c r="H64" s="2" t="s">
        <v>300</v>
      </c>
      <c r="I64" s="2"/>
    </row>
    <row r="65" spans="1:9">
      <c r="A65" s="2" t="s">
        <v>488</v>
      </c>
      <c r="B65" s="2" t="s">
        <v>496</v>
      </c>
      <c r="C65" s="2" t="s">
        <v>497</v>
      </c>
      <c r="D65" s="2" t="s">
        <v>293</v>
      </c>
      <c r="E65" s="3">
        <v>5</v>
      </c>
      <c r="F65" s="2" t="s">
        <v>294</v>
      </c>
      <c r="G65" s="2" t="s">
        <v>238</v>
      </c>
      <c r="H65" s="2" t="s">
        <v>300</v>
      </c>
      <c r="I65" s="2"/>
    </row>
    <row r="66" spans="1:9">
      <c r="A66" s="2" t="s">
        <v>488</v>
      </c>
      <c r="B66" s="2" t="s">
        <v>498</v>
      </c>
      <c r="C66" s="2" t="s">
        <v>499</v>
      </c>
      <c r="D66" s="2" t="s">
        <v>293</v>
      </c>
      <c r="E66" s="3">
        <v>4</v>
      </c>
      <c r="F66" s="2" t="s">
        <v>294</v>
      </c>
      <c r="G66" s="2" t="s">
        <v>238</v>
      </c>
      <c r="H66" s="2" t="s">
        <v>300</v>
      </c>
      <c r="I66" s="2"/>
    </row>
    <row r="67" spans="1:9">
      <c r="A67" s="2" t="s">
        <v>488</v>
      </c>
      <c r="B67" s="2" t="s">
        <v>246</v>
      </c>
      <c r="C67" s="2" t="s">
        <v>500</v>
      </c>
      <c r="D67" s="2" t="s">
        <v>293</v>
      </c>
      <c r="E67" s="3">
        <v>5</v>
      </c>
      <c r="F67" s="2" t="s">
        <v>294</v>
      </c>
      <c r="G67" s="2" t="s">
        <v>238</v>
      </c>
      <c r="H67" s="2" t="s">
        <v>300</v>
      </c>
      <c r="I67" s="2"/>
    </row>
    <row r="68" spans="1:9">
      <c r="A68" s="2" t="s">
        <v>488</v>
      </c>
      <c r="B68" s="2" t="s">
        <v>501</v>
      </c>
      <c r="C68" s="2" t="s">
        <v>502</v>
      </c>
      <c r="D68" s="2" t="s">
        <v>293</v>
      </c>
      <c r="E68" s="3">
        <v>4</v>
      </c>
      <c r="F68" s="2" t="s">
        <v>294</v>
      </c>
      <c r="G68" s="2" t="s">
        <v>238</v>
      </c>
      <c r="H68" s="2" t="s">
        <v>300</v>
      </c>
      <c r="I68" s="2"/>
    </row>
    <row r="69" spans="1:9">
      <c r="A69" s="2" t="s">
        <v>488</v>
      </c>
      <c r="B69" s="2" t="s">
        <v>503</v>
      </c>
      <c r="C69" s="2" t="s">
        <v>504</v>
      </c>
      <c r="D69" s="2" t="s">
        <v>293</v>
      </c>
      <c r="E69" s="3">
        <v>3</v>
      </c>
      <c r="F69" s="2" t="s">
        <v>368</v>
      </c>
      <c r="G69" s="2" t="s">
        <v>238</v>
      </c>
      <c r="H69" s="2" t="s">
        <v>300</v>
      </c>
      <c r="I69" s="2"/>
    </row>
    <row r="70" spans="1:9">
      <c r="A70" s="2" t="s">
        <v>488</v>
      </c>
      <c r="B70" s="2" t="s">
        <v>505</v>
      </c>
      <c r="C70" s="2" t="s">
        <v>506</v>
      </c>
      <c r="D70" s="2" t="s">
        <v>293</v>
      </c>
      <c r="E70" s="3">
        <v>5</v>
      </c>
      <c r="F70" s="2" t="s">
        <v>294</v>
      </c>
      <c r="G70" s="2" t="s">
        <v>507</v>
      </c>
      <c r="H70" s="2" t="s">
        <v>300</v>
      </c>
      <c r="I70" s="2"/>
    </row>
    <row r="71" spans="1:9" ht="28.5">
      <c r="A71" s="2" t="s">
        <v>488</v>
      </c>
      <c r="B71" s="2" t="s">
        <v>508</v>
      </c>
      <c r="C71" s="2" t="s">
        <v>509</v>
      </c>
      <c r="D71" s="2" t="s">
        <v>304</v>
      </c>
      <c r="E71" s="3">
        <v>3</v>
      </c>
      <c r="F71" s="2" t="s">
        <v>318</v>
      </c>
      <c r="G71" s="2" t="s">
        <v>510</v>
      </c>
      <c r="H71" s="2" t="s">
        <v>300</v>
      </c>
      <c r="I71" s="2"/>
    </row>
    <row r="72" spans="1:9" ht="28.5">
      <c r="A72" s="2" t="s">
        <v>488</v>
      </c>
      <c r="B72" s="2" t="s">
        <v>511</v>
      </c>
      <c r="C72" s="2" t="s">
        <v>512</v>
      </c>
      <c r="D72" s="2" t="s">
        <v>304</v>
      </c>
      <c r="E72" s="3">
        <v>3</v>
      </c>
      <c r="F72" s="2" t="s">
        <v>318</v>
      </c>
      <c r="G72" s="2" t="s">
        <v>513</v>
      </c>
      <c r="H72" s="2" t="s">
        <v>300</v>
      </c>
      <c r="I72" s="2"/>
    </row>
    <row r="73" spans="1:9">
      <c r="A73" s="2" t="s">
        <v>488</v>
      </c>
      <c r="B73" s="2" t="s">
        <v>514</v>
      </c>
      <c r="C73" s="2" t="s">
        <v>515</v>
      </c>
      <c r="D73" s="2" t="s">
        <v>491</v>
      </c>
      <c r="E73" s="3">
        <v>5</v>
      </c>
      <c r="F73" s="2" t="s">
        <v>294</v>
      </c>
      <c r="G73" s="2" t="s">
        <v>516</v>
      </c>
      <c r="H73" s="2" t="s">
        <v>300</v>
      </c>
      <c r="I73" s="2"/>
    </row>
    <row r="74" spans="1:9" ht="28.5">
      <c r="A74" s="2" t="s">
        <v>517</v>
      </c>
      <c r="B74" s="2" t="s">
        <v>518</v>
      </c>
      <c r="C74" s="2" t="s">
        <v>519</v>
      </c>
      <c r="D74" s="2" t="s">
        <v>324</v>
      </c>
      <c r="E74" s="3">
        <v>4</v>
      </c>
      <c r="F74" s="2" t="s">
        <v>294</v>
      </c>
      <c r="G74" s="2" t="s">
        <v>520</v>
      </c>
      <c r="H74" s="2" t="s">
        <v>295</v>
      </c>
      <c r="I74" s="2" t="s">
        <v>521</v>
      </c>
    </row>
    <row r="75" spans="1:9">
      <c r="A75" s="2" t="s">
        <v>517</v>
      </c>
      <c r="B75" s="2" t="s">
        <v>522</v>
      </c>
      <c r="C75" s="2" t="s">
        <v>523</v>
      </c>
      <c r="D75" s="2" t="s">
        <v>324</v>
      </c>
      <c r="E75" s="3">
        <v>5</v>
      </c>
      <c r="F75" s="2" t="s">
        <v>294</v>
      </c>
      <c r="G75" s="2" t="s">
        <v>524</v>
      </c>
      <c r="H75" s="2" t="s">
        <v>295</v>
      </c>
      <c r="I75" s="2" t="s">
        <v>525</v>
      </c>
    </row>
    <row r="76" spans="1:9">
      <c r="A76" s="2" t="s">
        <v>517</v>
      </c>
      <c r="B76" s="2" t="s">
        <v>526</v>
      </c>
      <c r="C76" s="2" t="s">
        <v>527</v>
      </c>
      <c r="D76" s="2" t="s">
        <v>304</v>
      </c>
      <c r="E76" s="3">
        <v>5</v>
      </c>
      <c r="F76" s="2" t="s">
        <v>294</v>
      </c>
      <c r="G76" s="2" t="s">
        <v>528</v>
      </c>
      <c r="H76" s="2" t="s">
        <v>295</v>
      </c>
      <c r="I76" s="2"/>
    </row>
    <row r="77" spans="1:9">
      <c r="A77" s="2" t="s">
        <v>517</v>
      </c>
      <c r="B77" s="2" t="s">
        <v>529</v>
      </c>
      <c r="C77" s="2" t="s">
        <v>530</v>
      </c>
      <c r="D77" s="2" t="s">
        <v>304</v>
      </c>
      <c r="E77" s="3">
        <v>3</v>
      </c>
      <c r="F77" s="2" t="s">
        <v>368</v>
      </c>
      <c r="G77" s="2" t="s">
        <v>531</v>
      </c>
      <c r="H77" s="2" t="s">
        <v>300</v>
      </c>
      <c r="I77" s="2"/>
    </row>
    <row r="78" spans="1:9" ht="28.5">
      <c r="A78" s="2" t="s">
        <v>517</v>
      </c>
      <c r="B78" s="2" t="s">
        <v>532</v>
      </c>
      <c r="C78" s="2" t="s">
        <v>533</v>
      </c>
      <c r="D78" s="2" t="s">
        <v>534</v>
      </c>
      <c r="E78" s="3">
        <v>2</v>
      </c>
      <c r="F78" s="2" t="s">
        <v>318</v>
      </c>
      <c r="G78" s="2" t="s">
        <v>535</v>
      </c>
      <c r="H78" s="2" t="s">
        <v>300</v>
      </c>
      <c r="I78" s="2"/>
    </row>
    <row r="79" spans="1:9">
      <c r="A79" s="2" t="s">
        <v>517</v>
      </c>
      <c r="B79" s="2" t="s">
        <v>536</v>
      </c>
      <c r="C79" s="2" t="s">
        <v>537</v>
      </c>
      <c r="D79" s="2" t="s">
        <v>478</v>
      </c>
      <c r="E79" s="3">
        <v>1</v>
      </c>
      <c r="F79" s="2" t="s">
        <v>87</v>
      </c>
      <c r="G79" s="2" t="s">
        <v>538</v>
      </c>
      <c r="H79" s="2" t="s">
        <v>295</v>
      </c>
      <c r="I79" s="2"/>
    </row>
    <row r="80" spans="1:9">
      <c r="A80" s="2" t="s">
        <v>517</v>
      </c>
      <c r="B80" s="2" t="s">
        <v>539</v>
      </c>
      <c r="C80" s="2" t="s">
        <v>540</v>
      </c>
      <c r="D80" s="2" t="s">
        <v>304</v>
      </c>
      <c r="E80" s="3">
        <v>3</v>
      </c>
      <c r="F80" s="2" t="s">
        <v>318</v>
      </c>
      <c r="G80" s="2" t="s">
        <v>541</v>
      </c>
      <c r="H80" s="2" t="s">
        <v>300</v>
      </c>
      <c r="I80" s="2"/>
    </row>
    <row r="81" spans="1:9" ht="28.5">
      <c r="A81" s="2" t="s">
        <v>542</v>
      </c>
      <c r="B81" s="2" t="s">
        <v>543</v>
      </c>
      <c r="C81" s="2" t="s">
        <v>544</v>
      </c>
      <c r="D81" s="2" t="s">
        <v>491</v>
      </c>
      <c r="E81" s="3">
        <v>5</v>
      </c>
      <c r="F81" s="2" t="s">
        <v>294</v>
      </c>
      <c r="G81" s="2" t="s">
        <v>545</v>
      </c>
      <c r="H81" s="2" t="s">
        <v>326</v>
      </c>
      <c r="I81" s="2"/>
    </row>
    <row r="82" spans="1:9">
      <c r="A82" s="2" t="s">
        <v>542</v>
      </c>
      <c r="B82" s="2" t="s">
        <v>546</v>
      </c>
      <c r="C82" s="2" t="s">
        <v>547</v>
      </c>
      <c r="D82" s="2" t="s">
        <v>491</v>
      </c>
      <c r="E82" s="3">
        <v>5</v>
      </c>
      <c r="F82" s="2" t="s">
        <v>294</v>
      </c>
      <c r="G82" s="2" t="s">
        <v>548</v>
      </c>
      <c r="H82" s="2" t="s">
        <v>326</v>
      </c>
      <c r="I82" s="2" t="s">
        <v>549</v>
      </c>
    </row>
    <row r="83" spans="1:9" ht="28.5">
      <c r="A83" s="2" t="s">
        <v>542</v>
      </c>
      <c r="B83" s="2" t="s">
        <v>550</v>
      </c>
      <c r="C83" s="2" t="s">
        <v>551</v>
      </c>
      <c r="D83" s="2" t="s">
        <v>304</v>
      </c>
      <c r="E83" s="3">
        <v>4</v>
      </c>
      <c r="F83" s="2" t="s">
        <v>294</v>
      </c>
      <c r="G83" s="2" t="s">
        <v>552</v>
      </c>
      <c r="H83" s="2" t="s">
        <v>295</v>
      </c>
      <c r="I83" s="2"/>
    </row>
    <row r="84" spans="1:9">
      <c r="A84" s="2" t="s">
        <v>542</v>
      </c>
      <c r="B84" s="2" t="s">
        <v>553</v>
      </c>
      <c r="C84" s="2" t="s">
        <v>554</v>
      </c>
      <c r="D84" s="2" t="s">
        <v>359</v>
      </c>
      <c r="E84" s="3">
        <v>5</v>
      </c>
      <c r="F84" s="2" t="s">
        <v>294</v>
      </c>
      <c r="G84" s="2" t="s">
        <v>555</v>
      </c>
      <c r="H84" s="2" t="s">
        <v>300</v>
      </c>
      <c r="I84" s="2"/>
    </row>
    <row r="85" spans="1:9" ht="28.5">
      <c r="A85" s="2" t="s">
        <v>542</v>
      </c>
      <c r="B85" s="2" t="s">
        <v>556</v>
      </c>
      <c r="C85" s="2" t="s">
        <v>557</v>
      </c>
      <c r="D85" s="2" t="s">
        <v>359</v>
      </c>
      <c r="E85" s="3">
        <v>5</v>
      </c>
      <c r="F85" s="2" t="s">
        <v>294</v>
      </c>
      <c r="G85" s="2" t="s">
        <v>558</v>
      </c>
      <c r="H85" s="2" t="s">
        <v>426</v>
      </c>
      <c r="I85" s="2" t="s">
        <v>559</v>
      </c>
    </row>
    <row r="86" spans="1:9">
      <c r="A86" s="2" t="s">
        <v>542</v>
      </c>
      <c r="B86" s="2" t="s">
        <v>560</v>
      </c>
      <c r="C86" s="2" t="s">
        <v>561</v>
      </c>
      <c r="D86" s="2" t="s">
        <v>359</v>
      </c>
      <c r="E86" s="3">
        <v>5</v>
      </c>
      <c r="F86" s="2" t="s">
        <v>294</v>
      </c>
      <c r="G86" s="2" t="s">
        <v>562</v>
      </c>
      <c r="H86" s="2" t="s">
        <v>300</v>
      </c>
      <c r="I86" s="2"/>
    </row>
    <row r="87" spans="1:9">
      <c r="A87" s="2" t="s">
        <v>542</v>
      </c>
      <c r="B87" s="2" t="s">
        <v>563</v>
      </c>
      <c r="C87" s="2" t="s">
        <v>564</v>
      </c>
      <c r="D87" s="2" t="s">
        <v>565</v>
      </c>
      <c r="E87" s="3">
        <v>4</v>
      </c>
      <c r="F87" s="2" t="s">
        <v>294</v>
      </c>
      <c r="G87" s="2" t="s">
        <v>566</v>
      </c>
      <c r="H87" s="2" t="s">
        <v>326</v>
      </c>
      <c r="I87" s="2" t="s">
        <v>567</v>
      </c>
    </row>
    <row r="88" spans="1:9" ht="28.5">
      <c r="A88" s="2" t="s">
        <v>542</v>
      </c>
      <c r="B88" s="2" t="s">
        <v>568</v>
      </c>
      <c r="C88" s="2" t="s">
        <v>569</v>
      </c>
      <c r="D88" s="2" t="s">
        <v>359</v>
      </c>
      <c r="E88" s="3">
        <v>4</v>
      </c>
      <c r="F88" s="2" t="s">
        <v>318</v>
      </c>
      <c r="G88" s="2" t="s">
        <v>570</v>
      </c>
      <c r="H88" s="2" t="s">
        <v>300</v>
      </c>
      <c r="I88" s="2"/>
    </row>
    <row r="89" spans="1:9">
      <c r="A89" s="2" t="s">
        <v>542</v>
      </c>
      <c r="B89" s="2" t="s">
        <v>571</v>
      </c>
      <c r="C89" s="2" t="s">
        <v>572</v>
      </c>
      <c r="D89" s="2" t="s">
        <v>359</v>
      </c>
      <c r="E89" s="3">
        <v>3</v>
      </c>
      <c r="F89" s="2" t="s">
        <v>318</v>
      </c>
      <c r="G89" s="2" t="s">
        <v>573</v>
      </c>
      <c r="H89" s="2" t="s">
        <v>295</v>
      </c>
      <c r="I89" s="2"/>
    </row>
    <row r="90" spans="1:9">
      <c r="A90" s="2" t="s">
        <v>542</v>
      </c>
      <c r="B90" s="2" t="s">
        <v>574</v>
      </c>
      <c r="C90" s="2" t="s">
        <v>575</v>
      </c>
      <c r="D90" s="2" t="s">
        <v>359</v>
      </c>
      <c r="E90" s="3">
        <v>4</v>
      </c>
      <c r="F90" s="2" t="s">
        <v>318</v>
      </c>
      <c r="G90" s="2" t="s">
        <v>576</v>
      </c>
      <c r="H90" s="2" t="s">
        <v>300</v>
      </c>
      <c r="I90" s="2"/>
    </row>
    <row r="91" spans="1:9">
      <c r="A91" s="2" t="s">
        <v>542</v>
      </c>
      <c r="B91" s="2" t="s">
        <v>577</v>
      </c>
      <c r="C91" s="2" t="s">
        <v>578</v>
      </c>
      <c r="D91" s="2" t="s">
        <v>534</v>
      </c>
      <c r="E91" s="3">
        <v>3</v>
      </c>
      <c r="F91" s="2" t="s">
        <v>294</v>
      </c>
      <c r="G91" s="2" t="s">
        <v>161</v>
      </c>
      <c r="H91" s="2" t="s">
        <v>300</v>
      </c>
      <c r="I91" s="2"/>
    </row>
    <row r="92" spans="1:9" ht="28.5">
      <c r="A92" s="2" t="s">
        <v>542</v>
      </c>
      <c r="B92" s="2" t="s">
        <v>579</v>
      </c>
      <c r="C92" s="2" t="s">
        <v>580</v>
      </c>
      <c r="D92" s="2" t="s">
        <v>534</v>
      </c>
      <c r="E92" s="3">
        <v>2</v>
      </c>
      <c r="F92" s="2" t="s">
        <v>294</v>
      </c>
      <c r="G92" s="2" t="s">
        <v>581</v>
      </c>
      <c r="H92" s="2" t="s">
        <v>300</v>
      </c>
      <c r="I92" s="2"/>
    </row>
    <row r="93" spans="1:9" ht="28.5">
      <c r="A93" s="2" t="s">
        <v>542</v>
      </c>
      <c r="B93" s="2" t="s">
        <v>582</v>
      </c>
      <c r="C93" s="2" t="s">
        <v>583</v>
      </c>
      <c r="D93" s="2" t="s">
        <v>491</v>
      </c>
      <c r="E93" s="3">
        <v>5</v>
      </c>
      <c r="F93" s="2" t="s">
        <v>294</v>
      </c>
      <c r="G93" s="2" t="s">
        <v>584</v>
      </c>
      <c r="H93" s="2" t="s">
        <v>326</v>
      </c>
      <c r="I93" s="2" t="s">
        <v>585</v>
      </c>
    </row>
    <row r="94" spans="1:9">
      <c r="A94" s="2" t="s">
        <v>478</v>
      </c>
      <c r="B94" s="2" t="s">
        <v>586</v>
      </c>
      <c r="C94" s="2" t="s">
        <v>587</v>
      </c>
      <c r="D94" s="2" t="s">
        <v>478</v>
      </c>
      <c r="E94" s="3">
        <v>2</v>
      </c>
      <c r="F94" s="2" t="s">
        <v>318</v>
      </c>
      <c r="G94" s="2" t="s">
        <v>588</v>
      </c>
      <c r="H94" s="2" t="s">
        <v>326</v>
      </c>
      <c r="I94" s="2" t="s">
        <v>589</v>
      </c>
    </row>
    <row r="95" spans="1:9">
      <c r="A95" s="2" t="s">
        <v>478</v>
      </c>
      <c r="B95" s="2" t="s">
        <v>590</v>
      </c>
      <c r="C95" s="2" t="s">
        <v>591</v>
      </c>
      <c r="D95" s="2" t="s">
        <v>478</v>
      </c>
      <c r="E95" s="3">
        <v>1</v>
      </c>
      <c r="F95" s="2" t="s">
        <v>87</v>
      </c>
      <c r="G95" s="2" t="s">
        <v>592</v>
      </c>
      <c r="H95" s="2" t="s">
        <v>593</v>
      </c>
      <c r="I95" s="2" t="s">
        <v>594</v>
      </c>
    </row>
    <row r="96" spans="1:9">
      <c r="A96" s="2" t="s">
        <v>478</v>
      </c>
      <c r="B96" s="2" t="s">
        <v>595</v>
      </c>
      <c r="C96" s="2" t="s">
        <v>596</v>
      </c>
      <c r="D96" s="2" t="s">
        <v>478</v>
      </c>
      <c r="E96" s="3">
        <v>1</v>
      </c>
      <c r="F96" s="2" t="s">
        <v>87</v>
      </c>
      <c r="G96" s="2" t="s">
        <v>597</v>
      </c>
      <c r="H96" s="2" t="s">
        <v>300</v>
      </c>
      <c r="I96" s="2" t="s">
        <v>598</v>
      </c>
    </row>
    <row r="97" spans="1:9" ht="28.5">
      <c r="A97" s="2" t="s">
        <v>478</v>
      </c>
      <c r="B97" s="2" t="s">
        <v>599</v>
      </c>
      <c r="C97" s="2" t="s">
        <v>600</v>
      </c>
      <c r="D97" s="2" t="s">
        <v>478</v>
      </c>
      <c r="E97" s="3">
        <v>1</v>
      </c>
      <c r="F97" s="2" t="s">
        <v>87</v>
      </c>
      <c r="G97" s="2" t="s">
        <v>601</v>
      </c>
      <c r="H97" s="2" t="s">
        <v>295</v>
      </c>
      <c r="I97" s="2" t="s">
        <v>602</v>
      </c>
    </row>
    <row r="98" spans="1:9">
      <c r="A98" s="2" t="s">
        <v>610</v>
      </c>
      <c r="B98" s="2" t="s">
        <v>611</v>
      </c>
      <c r="C98" s="2"/>
      <c r="D98" s="2"/>
      <c r="E98" s="3">
        <v>5</v>
      </c>
      <c r="F98" s="2" t="s">
        <v>294</v>
      </c>
      <c r="G98" s="2"/>
      <c r="H98" s="2"/>
      <c r="I98" s="2"/>
    </row>
    <row r="99" spans="1:9">
      <c r="A99" s="2" t="s">
        <v>610</v>
      </c>
      <c r="B99" s="2" t="s">
        <v>616</v>
      </c>
      <c r="C99" s="2"/>
      <c r="D99" s="2"/>
      <c r="E99" s="3">
        <v>5</v>
      </c>
      <c r="F99" s="2" t="s">
        <v>294</v>
      </c>
      <c r="G99" s="2"/>
      <c r="H99" s="2"/>
      <c r="I99" s="2"/>
    </row>
    <row r="100" spans="1:9">
      <c r="A100" s="2" t="s">
        <v>610</v>
      </c>
      <c r="B100" s="2" t="s">
        <v>612</v>
      </c>
      <c r="C100" s="2"/>
      <c r="D100" s="2"/>
      <c r="E100" s="3">
        <v>5</v>
      </c>
      <c r="F100" s="2" t="s">
        <v>294</v>
      </c>
      <c r="G100" s="2"/>
      <c r="H100" s="2"/>
      <c r="I100" s="2"/>
    </row>
    <row r="101" spans="1:9">
      <c r="A101" s="2" t="s">
        <v>610</v>
      </c>
      <c r="B101" s="2" t="s">
        <v>613</v>
      </c>
      <c r="C101" s="2"/>
      <c r="D101" s="2"/>
      <c r="E101" s="3">
        <v>5</v>
      </c>
      <c r="F101" s="2" t="s">
        <v>294</v>
      </c>
      <c r="G101" s="2"/>
      <c r="H101" s="2"/>
      <c r="I101" s="2"/>
    </row>
    <row r="102" spans="1:9">
      <c r="A102" s="2" t="s">
        <v>610</v>
      </c>
      <c r="B102" s="2" t="s">
        <v>614</v>
      </c>
      <c r="C102" s="2"/>
      <c r="D102" s="2"/>
      <c r="E102" s="3">
        <v>5</v>
      </c>
      <c r="F102" s="2" t="s">
        <v>368</v>
      </c>
      <c r="G102" s="2"/>
      <c r="H102" s="2"/>
      <c r="I102" s="2"/>
    </row>
    <row r="103" spans="1:9">
      <c r="A103" t="s">
        <v>610</v>
      </c>
      <c r="B103" t="s">
        <v>615</v>
      </c>
      <c r="E103" s="8">
        <v>5</v>
      </c>
      <c r="F103" t="s">
        <v>294</v>
      </c>
    </row>
    <row r="104" spans="1:9">
      <c r="A104" t="s">
        <v>610</v>
      </c>
      <c r="B104" t="s">
        <v>617</v>
      </c>
      <c r="E104" s="8">
        <v>5</v>
      </c>
      <c r="F104" t="s">
        <v>294</v>
      </c>
    </row>
    <row r="105" spans="1:9">
      <c r="A105" t="s">
        <v>610</v>
      </c>
      <c r="B105" t="s">
        <v>618</v>
      </c>
      <c r="E105" s="8">
        <v>5</v>
      </c>
      <c r="F105" t="s">
        <v>294</v>
      </c>
    </row>
    <row r="106" spans="1:9">
      <c r="A106" t="s">
        <v>620</v>
      </c>
      <c r="B106" t="s">
        <v>621</v>
      </c>
      <c r="C106" t="s">
        <v>622</v>
      </c>
      <c r="E106" s="8">
        <v>4</v>
      </c>
      <c r="F106" t="s">
        <v>318</v>
      </c>
    </row>
    <row r="110" spans="1:9" ht="15">
      <c r="A110" s="7" t="s">
        <v>275</v>
      </c>
      <c r="B110" s="7"/>
      <c r="C110" s="7"/>
      <c r="D110" s="7"/>
    </row>
    <row r="111" spans="1:9">
      <c r="A111" t="s">
        <v>603</v>
      </c>
      <c r="B111">
        <f>COUNTIF(F6:F106,"V1")</f>
        <v>66</v>
      </c>
    </row>
    <row r="112" spans="1:9">
      <c r="A112" t="s">
        <v>604</v>
      </c>
      <c r="B112">
        <f>COUNTIF(F6:F106,"V1/Later")</f>
        <v>6</v>
      </c>
    </row>
    <row r="113" spans="1:2">
      <c r="A113" t="s">
        <v>605</v>
      </c>
      <c r="B113">
        <f>COUNTIF(E6:E106,5)</f>
        <v>51</v>
      </c>
    </row>
    <row r="114" spans="1:2">
      <c r="A114" t="s">
        <v>606</v>
      </c>
      <c r="B114">
        <f>COUNTIF(E6:E106,4)</f>
        <v>20</v>
      </c>
    </row>
    <row r="115" spans="1:2">
      <c r="A115" t="s">
        <v>607</v>
      </c>
      <c r="B115">
        <f>COUNTIF(H6:H106,"High")</f>
        <v>13</v>
      </c>
    </row>
    <row r="116" spans="1:2">
      <c r="A116" t="s">
        <v>608</v>
      </c>
      <c r="B116">
        <f>COUNTIF(H6:H106,"Very High")</f>
        <v>1</v>
      </c>
    </row>
    <row r="117" spans="1:2">
      <c r="A117" t="s">
        <v>609</v>
      </c>
      <c r="B117">
        <f>COUNTIF(A6:A106,"Future")</f>
        <v>4</v>
      </c>
    </row>
  </sheetData>
  <mergeCells count="4">
    <mergeCell ref="A1:I1"/>
    <mergeCell ref="A2:I2"/>
    <mergeCell ref="A3:I3"/>
    <mergeCell ref="A110:D110"/>
  </mergeCells>
  <conditionalFormatting sqref="E6:E108">
    <cfRule type="colorScale" priority="1">
      <colorScale>
        <cfvo type="min"/>
        <cfvo type="percentile" val="50"/>
        <cfvo type="max"/>
        <color rgb="FFE6E6E6"/>
        <color rgb="FFF9E49C"/>
        <color rgb="FFC6E8C6"/>
      </colorScale>
    </cfRule>
  </conditionalFormatting>
  <dataValidations count="3">
    <dataValidation type="list" sqref="E6:E108" xr:uid="{00000000-0002-0000-0100-000000000000}">
      <formula1>"0,1,2,3,4,5"</formula1>
    </dataValidation>
    <dataValidation type="list" sqref="F6:F108" xr:uid="{00000000-0002-0000-0100-000001000000}">
      <formula1>"V1,V1/Later,Later,Later/Optional,Optional"</formula1>
    </dataValidation>
    <dataValidation type="list" sqref="H6:H108" xr:uid="{00000000-0002-0000-0100-000002000000}">
      <formula1>"None,Low,Moderate,High,Very High"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CIC Features</vt:lpstr>
      <vt:lpstr>E9XSim CIC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Byers</cp:lastModifiedBy>
  <dcterms:modified xsi:type="dcterms:W3CDTF">2026-09-11T18:01:18Z</dcterms:modified>
</cp:coreProperties>
</file>