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ygu\source\repos\E9XSim\docs\"/>
    </mc:Choice>
  </mc:AlternateContent>
  <xr:revisionPtr revIDLastSave="0" documentId="13_ncr:1_{019C6342-8182-4449-B88B-0165748806D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ummary" sheetId="1" r:id="rId1"/>
    <sheet name="SOM Candidates" sheetId="2" r:id="rId2"/>
    <sheet name="Sources &amp;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2" i="2" l="1"/>
  <c r="AG22" i="2" s="1"/>
  <c r="AF21" i="2"/>
  <c r="AG21" i="2" s="1"/>
  <c r="AF20" i="2"/>
  <c r="AG20" i="2" s="1"/>
  <c r="AF19" i="2"/>
  <c r="AG19" i="2" s="1"/>
  <c r="AF18" i="2"/>
  <c r="AG18" i="2" s="1"/>
  <c r="AF17" i="2"/>
  <c r="AG17" i="2" s="1"/>
  <c r="AF16" i="2"/>
  <c r="AG16" i="2" s="1"/>
  <c r="AF15" i="2"/>
  <c r="AG15" i="2" s="1"/>
  <c r="AF14" i="2"/>
  <c r="AG14" i="2" s="1"/>
  <c r="AF13" i="2"/>
  <c r="AF12" i="2"/>
  <c r="AF11" i="2"/>
  <c r="AF10" i="2"/>
  <c r="AF9" i="2"/>
  <c r="AF8" i="2"/>
  <c r="AF7" i="2"/>
  <c r="AF6" i="2"/>
  <c r="AF5" i="2"/>
  <c r="AF4" i="2"/>
  <c r="AF3" i="2"/>
  <c r="AF2" i="2"/>
  <c r="AG13" i="2" l="1"/>
  <c r="B25" i="1"/>
  <c r="AG12" i="2"/>
  <c r="B24" i="1"/>
  <c r="AG11" i="2"/>
  <c r="B23" i="1"/>
  <c r="AG10" i="2"/>
  <c r="B22" i="1"/>
  <c r="B21" i="1"/>
  <c r="AG9" i="2"/>
  <c r="B20" i="1"/>
  <c r="AG8" i="2"/>
  <c r="B19" i="1"/>
  <c r="AG7" i="2"/>
  <c r="B18" i="1"/>
  <c r="AG6" i="2"/>
  <c r="B17" i="1"/>
  <c r="AG5" i="2"/>
  <c r="AG4" i="2"/>
  <c r="B16" i="1"/>
  <c r="B15" i="1"/>
  <c r="AG3" i="2"/>
  <c r="B14" i="1"/>
  <c r="AG2" i="2"/>
</calcChain>
</file>

<file path=xl/sharedStrings.xml><?xml version="1.0" encoding="utf-8"?>
<sst xmlns="http://schemas.openxmlformats.org/spreadsheetml/2006/main" count="801" uniqueCount="536">
  <si>
    <t>E9XSim CIC — Qualcomm SOM Comparison</t>
  </si>
  <si>
    <t>Research snapshot: 2026-09-11  |  Goal: avoid SoC/RAM routing; prefer M.2 E-key wireless + M.2 M-key NVMe on carrier</t>
  </si>
  <si>
    <t>Scoring weight</t>
  </si>
  <si>
    <t>Weight</t>
  </si>
  <si>
    <t>Shortlist</t>
  </si>
  <si>
    <t>Why it stands out</t>
  </si>
  <si>
    <t>Main caveat</t>
  </si>
  <si>
    <t>SoC</t>
  </si>
  <si>
    <t>Public price</t>
  </si>
  <si>
    <t>External NVMe / storage fit</t>
  </si>
  <si>
    <t>TRIA SM2S-QCS6490</t>
  </si>
  <si>
    <t>SMARC, explicit NVMe, optional wireless, CAN-FD, Ubuntu on request</t>
  </si>
  <si>
    <t>Larger than tiny LGA SOMs</t>
  </si>
  <si>
    <t>QCS6490</t>
  </si>
  <si>
    <t>External M.2 wireless fit</t>
  </si>
  <si>
    <t>Thundercomm C8550</t>
  </si>
  <si>
    <t>No onboard Wi-Fi; Gen4 x2 + Gen3 x2; huge graphics headroom</t>
  </si>
  <si>
    <t>Ubuntu support needs confirmation</t>
  </si>
  <si>
    <t>QCS8550</t>
  </si>
  <si>
    <t>Linux / Ubuntu fit</t>
  </si>
  <si>
    <t>Lantronix Open-Q 8550CS μSOM</t>
  </si>
  <si>
    <t>External Wi-Fi/BT supported; compact; public availability</t>
  </si>
  <si>
    <t>Yocto is public, Ubuntu not yet the headline BSP</t>
  </si>
  <si>
    <t>Carrier simplicity / docs</t>
  </si>
  <si>
    <t>Lantronix Open-Q 6490CS</t>
  </si>
  <si>
    <t>Low price, external Wi-Fi architecture, NVMe ecosystem</t>
  </si>
  <si>
    <t>Module-specific Ubuntu image should be confirmed</t>
  </si>
  <si>
    <t>Thermal / lifecycle</t>
  </si>
  <si>
    <t>Silex EP-200Q</t>
  </si>
  <si>
    <t>Dedicated Wi-Fi x1 + external x2 PCIe; DSI/eDP/DP</t>
  </si>
  <si>
    <t>Yocto public; Ubuntu not advertised</t>
  </si>
  <si>
    <t>Compute headroom</t>
  </si>
  <si>
    <t>Critical Link MitySOM-QC6490</t>
  </si>
  <si>
    <t>Ubuntu explicitly supported; long lifecycle to 2036</t>
  </si>
  <si>
    <t>On-SOM flash is substantial</t>
  </si>
  <si>
    <t>Display capability</t>
  </si>
  <si>
    <t>Candidate</t>
  </si>
  <si>
    <t>Score</t>
  </si>
  <si>
    <t>SM2S-QCS6490</t>
  </si>
  <si>
    <t>TurboX C8550 SOM</t>
  </si>
  <si>
    <t>Open-Q 8550CS μSOM</t>
  </si>
  <si>
    <t>Open-Q 6490CS SOM</t>
  </si>
  <si>
    <t>EP-200Q</t>
  </si>
  <si>
    <t>MitySOM-QC6490</t>
  </si>
  <si>
    <t>Open-Q 6490CS SMARC SOM</t>
  </si>
  <si>
    <t>QCS6490 LGA SOM</t>
  </si>
  <si>
    <t>QCS6490 SOM (B2B)</t>
  </si>
  <si>
    <t>TurboX C6490 SOM</t>
  </si>
  <si>
    <t>SG560D-WF</t>
  </si>
  <si>
    <t>Open-Q 8550CS SOM</t>
  </si>
  <si>
    <t>How to use this workbook</t>
  </si>
  <si>
    <t>Change the weights in B5:B11 to reflect your priorities. The Overall score and Fit tier columns recalculate automatically. For your current architecture, the biggest filters are: external Wi-Fi/BT support, external NVMe capability, Linux/Ubuntu BSP quality, and carrier-board difficulty. Treat all blank or 'verify' fields as vendor-confirmation items before schematic capture.</t>
  </si>
  <si>
    <t>Vendor</t>
  </si>
  <si>
    <t>Module</t>
  </si>
  <si>
    <t>Form factor / connector</t>
  </si>
  <si>
    <t>Dimensions</t>
  </si>
  <si>
    <t>CPU</t>
  </si>
  <si>
    <t>GPU</t>
  </si>
  <si>
    <t>AI TOPS</t>
  </si>
  <si>
    <t>RAM</t>
  </si>
  <si>
    <t>On-module storage</t>
  </si>
  <si>
    <t>PCIe / high-speed expansion</t>
  </si>
  <si>
    <t>External NVMe / M.2 M-key fit</t>
  </si>
  <si>
    <t>Wireless architecture</t>
  </si>
  <si>
    <t>M.2 E-key Wi-Fi/BT fit</t>
  </si>
  <si>
    <t>Display interfaces</t>
  </si>
  <si>
    <t>Audio interfaces</t>
  </si>
  <si>
    <t>Native CAN / CAN-FD</t>
  </si>
  <si>
    <t>USB / Ethernet</t>
  </si>
  <si>
    <t>OS / BSP</t>
  </si>
  <si>
    <t>Ubuntu 24.04 confidence</t>
  </si>
  <si>
    <t>Operating temperature</t>
  </si>
  <si>
    <t>Lifecycle / status</t>
  </si>
  <si>
    <t>Public price USD</t>
  </si>
  <si>
    <t>Purchase path</t>
  </si>
  <si>
    <t>Storage rating</t>
  </si>
  <si>
    <t>Wireless rating</t>
  </si>
  <si>
    <t>Linux rating</t>
  </si>
  <si>
    <t>Carrier rating</t>
  </si>
  <si>
    <t>Thermal/lifecycle rating</t>
  </si>
  <si>
    <t>Compute rating</t>
  </si>
  <si>
    <t>Display rating</t>
  </si>
  <si>
    <t>Overall score</t>
  </si>
  <si>
    <t>Fit tier</t>
  </si>
  <si>
    <t>CIC-fit notes</t>
  </si>
  <si>
    <t>Primary source URL</t>
  </si>
  <si>
    <t>Secondary source URL</t>
  </si>
  <si>
    <t>TRIA</t>
  </si>
  <si>
    <t>SMARC 2.2 short-size</t>
  </si>
  <si>
    <t>SMARC short-size</t>
  </si>
  <si>
    <t>1× A78 2.7 GHz + 3× A78 2.4 GHz + 4× A55 1.95 GHz</t>
  </si>
  <si>
    <t>Adreno 643 @ up to 812 MHz</t>
  </si>
  <si>
    <t>12–15</t>
  </si>
  <si>
    <t>Up to 16 GB LPDDR5</t>
  </si>
  <si>
    <t>Optional UFS up to 1 TB</t>
  </si>
  <si>
    <t>2× Gen3 x1 + 1× Gen3 x2 (up to 4 lanes total)</t>
  </si>
  <si>
    <t>Explicit carrier NVMe support</t>
  </si>
  <si>
    <t>WLAN/BT module optional</t>
  </si>
  <si>
    <t>Excellent — separate carrier radio is a normal configuration</t>
  </si>
  <si>
    <t>MIPI-DSI or LVDS; DP 1.4; eDP/DP</t>
  </si>
  <si>
    <t>2× I²S</t>
  </si>
  <si>
    <t>2× CAN 2.0-FD</t>
  </si>
  <si>
    <t>2× USB 3.1, 5× USB 2.0, 2× GbE</t>
  </si>
  <si>
    <t>Yocto Linux; Windows 11 IoT; Android; Ubuntu on request</t>
  </si>
  <si>
    <t>Good — Ubuntu offered on request</t>
  </si>
  <si>
    <t>Industrial module; exact module range verify</t>
  </si>
  <si>
    <t>Production module / industrial focus</t>
  </si>
  <si>
    <t>RFQ / distribution</t>
  </si>
  <si>
    <t>Very strong architecture fit: standardized SMARC carrier, explicit NVMe, optional wireless, and CAN-FD already exposed.</t>
  </si>
  <si>
    <t>https://www.tria-technologies.com/product/tria-sm2s-qcs6490/</t>
  </si>
  <si>
    <t>https://www.qualcomm.com/internet-of-things/products/q6-series/qcs6490/hardware</t>
  </si>
  <si>
    <t>Thundercomm</t>
  </si>
  <si>
    <t>LGA</t>
  </si>
  <si>
    <t>39 × 33 × 2.75 mm</t>
  </si>
  <si>
    <t>1× Prime 3.2 GHz + 4× Gold 2.8 GHz + 3× Silver 2.0 GHz</t>
  </si>
  <si>
    <t>Adreno 740</t>
  </si>
  <si>
    <t>48 INT8 / 12 FP16</t>
  </si>
  <si>
    <t>12 GB</t>
  </si>
  <si>
    <t>128 GB on-module</t>
  </si>
  <si>
    <t>1× Gen4 x2 + 1× Gen3 x2</t>
  </si>
  <si>
    <t>Excellent lane budget for carrier NVMe</t>
  </si>
  <si>
    <t>No Wi-Fi built in</t>
  </si>
  <si>
    <t>Excellent — specifically leaves wireless to carrier design</t>
  </si>
  <si>
    <t>2× 4-lane DSI; DP 1.4 over USB-C; up to 4K120</t>
  </si>
  <si>
    <t>High-speed Qualcomm audio interfaces; carrier implementation required</t>
  </si>
  <si>
    <t>Not listed on SOM; use external CAN controller if needed</t>
  </si>
  <si>
    <t>USB 3.1 Gen2; Ethernet not listed on SOM page</t>
  </si>
  <si>
    <t>Vendor BSP; public page does not clearly state Ubuntu</t>
  </si>
  <si>
    <t>Medium — verify Ubuntu/BSP directly with Thundercomm</t>
  </si>
  <si>
    <t>-30 to +75 °C</t>
  </si>
  <si>
    <t>Current production QCS8550 SOM</t>
  </si>
  <si>
    <t>RFQ</t>
  </si>
  <si>
    <t>Best raw-performance fit to your desired carrier architecture: no onboard Wi-Fi and lots of PCIe. Main question is Ubuntu support/document access.</t>
  </si>
  <si>
    <t>https://www.thundercomm.com/product/c8550-som/</t>
  </si>
  <si>
    <t>https://www.qualcomm.com/internet-of-things/hardware</t>
  </si>
  <si>
    <t>Lantronix</t>
  </si>
  <si>
    <t>Compact LGA SOM</t>
  </si>
  <si>
    <t>~33 × 39 mm class</t>
  </si>
  <si>
    <t>12 GB LPDDR5X</t>
  </si>
  <si>
    <t>256 GB UFS</t>
  </si>
  <si>
    <t>High-speed PCIe exposed; exact lane map requires hardware docs</t>
  </si>
  <si>
    <t>Supported in Lantronix reference platforms; verify exact lane map</t>
  </si>
  <si>
    <t>External Wi-Fi / Bluetooth supported</t>
  </si>
  <si>
    <t>Excellent — explicitly designed for external Wi-Fi/BT</t>
  </si>
  <si>
    <t>2× 4-lane MIPI DSI; DP 1.4 over USB-C</t>
  </si>
  <si>
    <t>Qualcomm audio interfaces; carrier codec as needed</t>
  </si>
  <si>
    <t>Not listed as native on SOM page</t>
  </si>
  <si>
    <t>USB 3.2 Gen2; external connectivity via carrier</t>
  </si>
  <si>
    <t>Linux Yocto / Android family support</t>
  </si>
  <si>
    <t>Medium — Yocto is public; Ubuntu requires confirmation</t>
  </si>
  <si>
    <t>Industrial/embedded; detailed range in product brief</t>
  </si>
  <si>
    <t>Current Lantronix production SOM</t>
  </si>
  <si>
    <t>Public e-store</t>
  </si>
  <si>
    <t>Excellent compact high-end choice. External wireless matches your preference; onboard UFS is unavoidable but can be treated as boot/recovery storage.</t>
  </si>
  <si>
    <t>https://www.lantronix.com/products/open-q-8550cs-%CE%BCsom-system-on-module/</t>
  </si>
  <si>
    <t>https://estore.lantronix.com/products/open-q-8550cs-som-system-on-module-1</t>
  </si>
  <si>
    <t>Production SOM</t>
  </si>
  <si>
    <t>Compact SOM; see hardware docs</t>
  </si>
  <si>
    <t>1× Prime 2.7 GHz + 3× Gold 2.4 GHz + 4× Silver 1.8–1.9 GHz</t>
  </si>
  <si>
    <t>Adreno 643L</t>
  </si>
  <si>
    <t>~12</t>
  </si>
  <si>
    <t>Configuration-dependent LPDDR5</t>
  </si>
  <si>
    <t>Supports external UFS / SD; module configs vary</t>
  </si>
  <si>
    <t>External Wi-Fi via PCIe x1; additional high-speed I/O for storage</t>
  </si>
  <si>
    <t>External NVMe supported on development platform</t>
  </si>
  <si>
    <t>External Wi-Fi up to Wi-Fi 6E + Bluetooth 5.2</t>
  </si>
  <si>
    <t>Excellent — external radio is explicitly supported</t>
  </si>
  <si>
    <t>MIPI display plus eDP / DP / HDMI on reference platform</t>
  </si>
  <si>
    <t>Digital audio interfaces; carrier codec implementation</t>
  </si>
  <si>
    <t>Carrier can provide CAN; native SOM CAN not advertised</t>
  </si>
  <si>
    <t>USB + GbE options on development platform</t>
  </si>
  <si>
    <t>Android 13 and Qualcomm Linux</t>
  </si>
  <si>
    <t>Good — QCS6490 has Ubuntu enablement; verify this SOM BSP</t>
  </si>
  <si>
    <t>Lantronix industrial SOM family</t>
  </si>
  <si>
    <t>At least 10-year longevity commitment</t>
  </si>
  <si>
    <t>Probably the safest practical starting point: inexpensive for this class, external Wi-Fi architecture, NVMe support, strong QCS6490 ecosystem.</t>
  </si>
  <si>
    <t>https://www.lantronix.com/products/open-q-6490-som-system-on-module/</t>
  </si>
  <si>
    <t>https://estore.lantronix.com/products/open-q-6490cs-som-system-on-module</t>
  </si>
  <si>
    <t>Silex Technology</t>
  </si>
  <si>
    <t>Edge-card SOM</t>
  </si>
  <si>
    <t>30 × 45 mm</t>
  </si>
  <si>
    <t>1× Prime 2.7 GHz + 3× Gold 2.4 GHz + 4× Silver 1.8 GHz</t>
  </si>
  <si>
    <t>Adreno 643L up to 812 MHz</t>
  </si>
  <si>
    <t>12</t>
  </si>
  <si>
    <t>8 GB LPDDR5</t>
  </si>
  <si>
    <t>128 GB eMMC 5.1</t>
  </si>
  <si>
    <t>1× Gen3 x1 reserved for Wi-Fi module + 1× Gen3 x2 external</t>
  </si>
  <si>
    <t>Excellent — Gen3 x2 available externally</t>
  </si>
  <si>
    <t>Separate Wi-Fi module via PCIe x1</t>
  </si>
  <si>
    <t>Excellent — explicitly split from compute SOM</t>
  </si>
  <si>
    <t>MIPI-DSI, eDP 1.4, DP 1.4 over USB-C</t>
  </si>
  <si>
    <t>I²S to external codec</t>
  </si>
  <si>
    <t>No native CAN listed</t>
  </si>
  <si>
    <t>USB 3.1 Gen1 Type-C + USB 2.0 OTG</t>
  </si>
  <si>
    <t>Qualcomm Linux / Yocto; Android TBD</t>
  </si>
  <si>
    <t>Medium — Yocto public, Ubuntu not advertised</t>
  </si>
  <si>
    <t>-25 to +75 °C</t>
  </si>
  <si>
    <t>Preliminary/current product family</t>
  </si>
  <si>
    <t>Very clean carrier architecture: small edge-card module, dedicated Wi-Fi PCIe lane, separate x2 lane for NVMe, and excellent display options.</t>
  </si>
  <si>
    <t>https://www.silextechnology.com/hubfs/Resource%20PDF/EP-200Q%20Product%20Brief_07.21.25_Preliminary.pdf</t>
  </si>
  <si>
    <t>Critical Link</t>
  </si>
  <si>
    <t>45 × 45 mm</t>
  </si>
  <si>
    <t>1× 2.7 GHz + 3× 2.4 GHz + 4× 1.9 GHz</t>
  </si>
  <si>
    <t>Adreno 643</t>
  </si>
  <si>
    <t>4 or 8 GB LPDDR5</t>
  </si>
  <si>
    <t>128 or 256 GB on-board flash</t>
  </si>
  <si>
    <t>1× Gen3 x1 + 1× Gen3 x2</t>
  </si>
  <si>
    <t>Good — x2 PCIe available for carrier NVMe</t>
  </si>
  <si>
    <t>Wi-Fi supported on development board</t>
  </si>
  <si>
    <t>Good — enough I/O, but exact M.2 radio topology should be confirmed</t>
  </si>
  <si>
    <t>MIPI DSI + DisplayPort / USB-C DP</t>
  </si>
  <si>
    <t>2× I²S; SLIMBus; SoundWire</t>
  </si>
  <si>
    <t>USB 3.1 Gen2 + USB 2.0</t>
  </si>
  <si>
    <t>Linux, Ubuntu, Android, Windows 11 IoT support advertised</t>
  </si>
  <si>
    <t>Excellent — Ubuntu explicitly advertised</t>
  </si>
  <si>
    <t>-25 to +80 °C configs</t>
  </si>
  <si>
    <t>Expected through July 2036</t>
  </si>
  <si>
    <t>Direct / request quote</t>
  </si>
  <si>
    <t>Excellent software/lifecycle choice. Less pure than your ideal because significant flash lives on the SOM, but that can be used as boot/recovery storage.</t>
  </si>
  <si>
    <t>https://www.criticallink.com/product/mitysom-qc6490-system-on-module/</t>
  </si>
  <si>
    <t>SMARC 2.2</t>
  </si>
  <si>
    <t>SMARC module</t>
  </si>
  <si>
    <t>Up to 8 GB LPDDR5</t>
  </si>
  <si>
    <t>Up to 64 GB eMMC / configuration-dependent</t>
  </si>
  <si>
    <t>SMARC high-speed expansion; NVMe supported on carrier</t>
  </si>
  <si>
    <t>Excellent — explicit additional NVMe storage support</t>
  </si>
  <si>
    <t>Wi-Fi 6E + Bluetooth supported; implementation varies</t>
  </si>
  <si>
    <t>Good — standardized carrier makes external M.2 straightforward</t>
  </si>
  <si>
    <t>MIPI / DP / eDP options</t>
  </si>
  <si>
    <t>SMARC audio interfaces</t>
  </si>
  <si>
    <t>SMARC carrier can expose CAN depending implementation</t>
  </si>
  <si>
    <t>High-speed USB and Ethernet via SMARC</t>
  </si>
  <si>
    <t>Good — QCS6490 platform supports Ubuntu; module BSP verify</t>
  </si>
  <si>
    <t>Industrial product family</t>
  </si>
  <si>
    <t>Current production</t>
  </si>
  <si>
    <t>Excellent if you value a standard connector and easy carrier routing more than smallest possible module size.</t>
  </si>
  <si>
    <t>https://www.lantronix.com/products/open-q-6490cs-smarc-som-system-on-module/</t>
  </si>
  <si>
    <t>https://estore.lantronix.com/collections/dragonwing-soms-dev-kits/products/open-q-6490-smarc-som-development-kit</t>
  </si>
  <si>
    <t>VVDN</t>
  </si>
  <si>
    <t>46 × 49 mm</t>
  </si>
  <si>
    <t>4 GB LPDDR4X</t>
  </si>
  <si>
    <t>64 GB eMMC 5.1</t>
  </si>
  <si>
    <t>1× Gen3 x1 for Wi-Fi + 1× Gen3 x2 for NVMe</t>
  </si>
  <si>
    <t>Excellent — explicitly assigned Gen3 x2 for NVMe</t>
  </si>
  <si>
    <t>Wi-Fi 6E + Bluetooth 5.2 integrated/module-level</t>
  </si>
  <si>
    <t>Poor for your preference — Wi-Fi is part of the module solution</t>
  </si>
  <si>
    <t>1× 4-lane MIPI-DSI + DP 1.4 over USB-C</t>
  </si>
  <si>
    <t>SoundWire, DMIC, MI2S, I²S</t>
  </si>
  <si>
    <t>USB 3.1 Type-C + USB 2.0</t>
  </si>
  <si>
    <t>Linux, Windows, Android</t>
  </si>
  <si>
    <t>Medium — Linux yes; Ubuntu BSP not clearly advertised</t>
  </si>
  <si>
    <t>Not public on product page</t>
  </si>
  <si>
    <t>Current production offering</t>
  </si>
  <si>
    <t>Enquire / RFQ</t>
  </si>
  <si>
    <t>Technically convenient for NVMe, but contradicts your preference to keep Wi-Fi/BT off the SOM.</t>
  </si>
  <si>
    <t>https://www.vvdntech.com/en-us/vision/vvdn-qcs6490-lga-som</t>
  </si>
  <si>
    <t>https://www.vvdntech.com/en-us/partners/qualcomm</t>
  </si>
  <si>
    <t>2× 180-pin board-to-board</t>
  </si>
  <si>
    <t>60 × 60 mm</t>
  </si>
  <si>
    <t>8 GB LPDDR4X</t>
  </si>
  <si>
    <t>128 GB UFS 2.2</t>
  </si>
  <si>
    <t>1× Gen3 x1 for onboard Wi-Fi/BT + 1× Gen3 x2 external</t>
  </si>
  <si>
    <t>Good — external Gen3 x2 can be used for NVMe</t>
  </si>
  <si>
    <t>Wi-Fi 6 + Bluetooth 5.2 integrated</t>
  </si>
  <si>
    <t>Poor — integrated radio defeats external M.2 radio goal</t>
  </si>
  <si>
    <t>2× SoundWire, DMIC, MI2S</t>
  </si>
  <si>
    <t>Linux</t>
  </si>
  <si>
    <t>Medium — Linux yes; Ubuntu not explicit</t>
  </si>
  <si>
    <t>Current offering</t>
  </si>
  <si>
    <t>Easy B2B carrier integration, but integrated Wi-Fi/BT and large 60 mm footprint are less aligned with your architecture.</t>
  </si>
  <si>
    <t>https://www.vvdntech.com/en-us/vision/vvdn-qcs6490-som</t>
  </si>
  <si>
    <t>42.5 × 35.5 × 2.7 mm</t>
  </si>
  <si>
    <t>Kryo 670</t>
  </si>
  <si>
    <t>Adreno 642L / 643-class platform</t>
  </si>
  <si>
    <t>12.5</t>
  </si>
  <si>
    <t>8 GB</t>
  </si>
  <si>
    <t>128 GB uMCP</t>
  </si>
  <si>
    <t>1× Gen3 x2 exposed</t>
  </si>
  <si>
    <t>Good — x2 external lane available</t>
  </si>
  <si>
    <t>Wi-Fi 6E + Bluetooth 5.2 integrated</t>
  </si>
  <si>
    <t>Poor — integrated wireless</t>
  </si>
  <si>
    <t>1× 4-lane DSI; DP over USB-C up to 4K60</t>
  </si>
  <si>
    <t>2× SoundWire; DMIC; QUP</t>
  </si>
  <si>
    <t>USB 3.1 + USB 2.0</t>
  </si>
  <si>
    <t>Android 13; LU/LE listed by vendor</t>
  </si>
  <si>
    <t>Medium-low — Ubuntu not clearly advertised</t>
  </si>
  <si>
    <t>Long life cycle advertised to 2036</t>
  </si>
  <si>
    <t>Solid module, but onboard wireless makes it less attractive for your modular M.2-radio goal.</t>
  </si>
  <si>
    <t>https://www.thundercomm.com/product/c6490-som/</t>
  </si>
  <si>
    <t>Quectel</t>
  </si>
  <si>
    <t>LGA smart module</t>
  </si>
  <si>
    <t>42.5 × 56.5 × 2.95 mm</t>
  </si>
  <si>
    <t>~14</t>
  </si>
  <si>
    <t>4/6/8 GB LPDDR4X</t>
  </si>
  <si>
    <t>64/128 GB UFS</t>
  </si>
  <si>
    <t>PCIe exposed; detailed lane topology requires hardware design docs</t>
  </si>
  <si>
    <t>Possible but not its primary design intent</t>
  </si>
  <si>
    <t>Wi-Fi 6E / BT integrated; cellular variants also exist</t>
  </si>
  <si>
    <t>Poor — radio integration is one of the module's selling points</t>
  </si>
  <si>
    <t>MIPI DSI; up to 2520×1080 @ 144 Hz</t>
  </si>
  <si>
    <t>Smart-module audio interfaces</t>
  </si>
  <si>
    <t>No native CAN highlighted</t>
  </si>
  <si>
    <t>USB and PCIe; smart-module peripheral set</t>
  </si>
  <si>
    <t>Android 12/13/14 family</t>
  </si>
  <si>
    <t>Poor — Android-first product</t>
  </si>
  <si>
    <t>-35 to +75 °C</t>
  </si>
  <si>
    <t>Commercial smart-module lifecycle; older docs cite availability through 2028</t>
  </si>
  <si>
    <t>Distributor / RFQ</t>
  </si>
  <si>
    <t>Easy-to-buy integrated smart module, but almost the opposite of your preferred architecture: wireless and storage are already integrated and Android-centric.</t>
  </si>
  <si>
    <t>https://www.quectel.com/product/5g-sg560d-smart-module-series/</t>
  </si>
  <si>
    <t>https://www.quectel.com/blog/document/5g-sg560d-smart-module-series-2/</t>
  </si>
  <si>
    <t>LGA SOM</t>
  </si>
  <si>
    <t>54 × 45 × 3.61 mm</t>
  </si>
  <si>
    <t>8 or 16 GB LPDDR5X</t>
  </si>
  <si>
    <t>128 GB or 1 TB UFS depending config</t>
  </si>
  <si>
    <t>High-speed expansion; dev kit exposes M.2 NVMe</t>
  </si>
  <si>
    <t>Excellent — reference carrier has M.2 NVMe</t>
  </si>
  <si>
    <t>Wi-Fi 7 / Bluetooth 5.3 capable, integrated module solution</t>
  </si>
  <si>
    <t>Poor for your preference — wireless is part of the SOM solution</t>
  </si>
  <si>
    <t>2× 4-lane DSI; DP 1.4 over USB-C; up to four displays</t>
  </si>
  <si>
    <t>Carrier codec supported</t>
  </si>
  <si>
    <t>Carrier/dev kit includes CAN; SOM native status verify</t>
  </si>
  <si>
    <t>USB 3.1/3.2; carrier provides broader connectivity</t>
  </si>
  <si>
    <t>Android 13; Linux Yocto Kirkstone</t>
  </si>
  <si>
    <t>Medium-low — Yocto is public, Ubuntu not advertised</t>
  </si>
  <si>
    <t>-25 to +85 °C</t>
  </si>
  <si>
    <t>Very capable, but the μSOM is more aligned with your desire to keep Wi-Fi off the compute module.</t>
  </si>
  <si>
    <t>https://www.lantronix.com/products/open-q-8550cs-som/</t>
  </si>
  <si>
    <t>https://estore.lantronix.com/products/open-q-8550cs-som-system-on-module</t>
  </si>
  <si>
    <t>Open-Q 8250CS SOM</t>
  </si>
  <si>
    <t>QCS8250</t>
  </si>
  <si>
    <t>3× board-to-board connectors</t>
  </si>
  <si>
    <t>50 × 29 mm</t>
  </si>
  <si>
    <t>Kryo 585 up to 2.85 GHz</t>
  </si>
  <si>
    <t>Adreno 650</t>
  </si>
  <si>
    <t>15</t>
  </si>
  <si>
    <t>LPDDR5 configurations</t>
  </si>
  <si>
    <t>On-module UFS / flash</t>
  </si>
  <si>
    <t>1× Gen3 x2</t>
  </si>
  <si>
    <t>Good — x2 can support carrier storage, verify boot topology</t>
  </si>
  <si>
    <t>Integrated QCA6391 Wi-Fi 6 / BT 5.1</t>
  </si>
  <si>
    <t>Poor — radio is integrated on SOM</t>
  </si>
  <si>
    <t>MIPI DSI + DP 1.4 over USB-C</t>
  </si>
  <si>
    <t>SoundWire, MI2S, DMIC, TDM/PCM</t>
  </si>
  <si>
    <t>Not native on SOM page</t>
  </si>
  <si>
    <t>2× USB 3.1-class links</t>
  </si>
  <si>
    <t>Android 13 public</t>
  </si>
  <si>
    <t>Low — module page is Android-focused</t>
  </si>
  <si>
    <t>-25 to +85 °C case</t>
  </si>
  <si>
    <t>At least 10-year Lantronix longevity commitment</t>
  </si>
  <si>
    <t>Great value and performance, but integrated wireless and Android-first BSP are both off-target for your current plan.</t>
  </si>
  <si>
    <t>https://www.lantronix.com/products/open-q-8250cs-som/</t>
  </si>
  <si>
    <t>https://estore.lantronix.com/products/open-q-8250cs-som-system-on-module</t>
  </si>
  <si>
    <t>TurboX C865C SOM</t>
  </si>
  <si>
    <t>SOM</t>
  </si>
  <si>
    <t>36.5 × 52 × 4.55 mm</t>
  </si>
  <si>
    <t>Kryo 585</t>
  </si>
  <si>
    <t>~15</t>
  </si>
  <si>
    <t>128 GB UFS 3.1</t>
  </si>
  <si>
    <t>1× Gen3 x2 + 1× Gen3 x1</t>
  </si>
  <si>
    <t>Excellent lane budget for NVMe</t>
  </si>
  <si>
    <t>QCA6391 Wi-Fi 6 + BT 5.1 integrated</t>
  </si>
  <si>
    <t>2× 4-lane MIPI-DSI; DP over USB-C</t>
  </si>
  <si>
    <t>SoundWire, MI2S, DMIC, analog via codec</t>
  </si>
  <si>
    <t>2× USB 3.1 Gen2</t>
  </si>
  <si>
    <t>Android-oriented Thundercomm platform</t>
  </si>
  <si>
    <t>Low-medium — Ubuntu not explicit in public datasheet</t>
  </si>
  <si>
    <t>Current production family</t>
  </si>
  <si>
    <t>Technically easy to build around, but integrated Wi-Fi/BT works against your modular-radio goal.</t>
  </si>
  <si>
    <t>https://fcc.report/FCC-ID/2AOHHTURBOXC865C/6304315.pdf</t>
  </si>
  <si>
    <t>https://www.qualcomm.com/internet-of-things/products/q8-series/qcs8250</t>
  </si>
  <si>
    <t>Innominds</t>
  </si>
  <si>
    <t>Kiteboard 8250 SOM</t>
  </si>
  <si>
    <t>SMARC-compatible</t>
  </si>
  <si>
    <t>Not public on summary page</t>
  </si>
  <si>
    <t>Kryo 585 up to 2.842 GHz</t>
  </si>
  <si>
    <t>128 GB UFS</t>
  </si>
  <si>
    <t>PCIe exposed through carrier</t>
  </si>
  <si>
    <t>Good — carrier expansion possible</t>
  </si>
  <si>
    <t>Wi-Fi 6 / BT 5.1 integrated</t>
  </si>
  <si>
    <t>DVI / HDMI / DP / MIPI-DSI on platform</t>
  </si>
  <si>
    <t>Platform-dependent</t>
  </si>
  <si>
    <t>Not listed on SOM summary</t>
  </si>
  <si>
    <t>USB 3.x + PCIe</t>
  </si>
  <si>
    <t>Android 10, Ubuntu, ROS2</t>
  </si>
  <si>
    <t>Excellent — Ubuntu explicitly listed</t>
  </si>
  <si>
    <t>Production-ready SOM</t>
  </si>
  <si>
    <t>Get a quote</t>
  </si>
  <si>
    <t>Ubuntu + SMARC are compelling, but onboard Wi-Fi makes it less aligned than the best QCS6490/8550 options.</t>
  </si>
  <si>
    <t>https://www.idhi.ai/kiteboard_soms_series/</t>
  </si>
  <si>
    <t>https://www.qualcomm.com/developer/hardware/list</t>
  </si>
  <si>
    <t>eInfochips</t>
  </si>
  <si>
    <t>Aikri-82X-50S</t>
  </si>
  <si>
    <t>59.7 × 32.2 mm</t>
  </si>
  <si>
    <t>Not public in Qualcomm summary</t>
  </si>
  <si>
    <t>PCIe Gen3 available</t>
  </si>
  <si>
    <t>Good in principle; exact lane map requires vendor docs</t>
  </si>
  <si>
    <t>Wi-Fi 6 + Bluetooth 5.1 integrated</t>
  </si>
  <si>
    <t>Poor — wireless integrated</t>
  </si>
  <si>
    <t>2× 4-lane MIPI DSI + DP 1.4 over USB-C</t>
  </si>
  <si>
    <t>I²S / platform audio</t>
  </si>
  <si>
    <t>USB 3.1 + standard embedded I/O</t>
  </si>
  <si>
    <t>Vendor BSP; details require vendor docs</t>
  </si>
  <si>
    <t>Medium-low — Ubuntu not explicit in public summary</t>
  </si>
  <si>
    <t>Not public in summary</t>
  </si>
  <si>
    <t>Vendor / partner channel</t>
  </si>
  <si>
    <t>Capable but not well aligned with your modular RF goal; public documentation is thinner than the strongest candidates.</t>
  </si>
  <si>
    <t>https://www.qualcomm.com/internet-of-things/industries/retail/hardware</t>
  </si>
  <si>
    <t>Qualcomm</t>
  </si>
  <si>
    <t>Dragonwing IQ-9075 Module</t>
  </si>
  <si>
    <t>IQ-9075 / QCS9075</t>
  </si>
  <si>
    <t>1573-ball BGA module/SIP</t>
  </si>
  <si>
    <t>BGA SIP; see Qualcomm package drawing</t>
  </si>
  <si>
    <t>8× Kryo Gen 6 application cores + 4× Cortex-R52 RTSS</t>
  </si>
  <si>
    <t>Adreno 663</t>
  </si>
  <si>
    <t>50 or 100</t>
  </si>
  <si>
    <t>36 GB ECC LPDDR5 integrated</t>
  </si>
  <si>
    <t>External / platform-dependent</t>
  </si>
  <si>
    <t>Multiple high-speed PCIe interfaces</t>
  </si>
  <si>
    <t>Excellent electrically, but carrier routing is advanced</t>
  </si>
  <si>
    <t>Optional external WCN6856 Wi-Fi/BT companion</t>
  </si>
  <si>
    <t>Excellent conceptually — wireless is external</t>
  </si>
  <si>
    <t>Multi-display; dual DPU; platform supports several display interfaces</t>
  </si>
  <si>
    <t>Industrial platform audio I/O</t>
  </si>
  <si>
    <t>Native CAN-FD available in IQ9 platform</t>
  </si>
  <si>
    <t>High-speed USB; 2.5GbE/TSN platform support</t>
  </si>
  <si>
    <t>Ubuntu, upstream Linux, Yocto; RTOS on MCU subsystem</t>
  </si>
  <si>
    <t>Excellent — Ubuntu explicitly supported</t>
  </si>
  <si>
    <t>-40 to +85 °C ambient module; SoC junction up to 115 °C</t>
  </si>
  <si>
    <t>10+ year industrial longevity</t>
  </si>
  <si>
    <t>Buy/evaluate through Qualcomm ecosystem</t>
  </si>
  <si>
    <t>Architecturally ideal in capability but overkill for CIC and substantially harder to route because the 'module' is still a dense BGA SIP rather than a friendly board-to-board SOM.</t>
  </si>
  <si>
    <t>https://www.qualcomm.com/internet-of-things/products/iq9-series/iq-9075/hardware</t>
  </si>
  <si>
    <t>https://www.qualcomm.com/internet-of-things/products/iq9-series/iq-9075</t>
  </si>
  <si>
    <t>Open-Q 9075IQ SOM</t>
  </si>
  <si>
    <t>IQ-9075</t>
  </si>
  <si>
    <t>See Lantronix hardware docs</t>
  </si>
  <si>
    <t>Kryo Gen 6 octa-core</t>
  </si>
  <si>
    <t>48–100 INT8</t>
  </si>
  <si>
    <t>36 GB LPDDR5</t>
  </si>
  <si>
    <t>Configuration-dependent</t>
  </si>
  <si>
    <t>Multiple PCIe interfaces</t>
  </si>
  <si>
    <t>Excellent — ample PCIe platform support</t>
  </si>
  <si>
    <t>No integrated wireless highlighted; external radio expected</t>
  </si>
  <si>
    <t>Excellent — good candidate for external M.2 radio</t>
  </si>
  <si>
    <t>Multi-display platform</t>
  </si>
  <si>
    <t>Multiple CAN-FD interfaces</t>
  </si>
  <si>
    <t>Multiple USB + 2.5GbE TSN</t>
  </si>
  <si>
    <t>Qualcomm Linux</t>
  </si>
  <si>
    <t>Good — IQ-9075 platform supports Ubuntu; module BSP verify</t>
  </si>
  <si>
    <t>-40 to +115 °C junction platform range</t>
  </si>
  <si>
    <t>Industrial / long-life family</t>
  </si>
  <si>
    <t>Huge headroom and direct CAN-FD. Still overkill for infotainment, but much easier than routing the raw IQ-9075 SIP.</t>
  </si>
  <si>
    <t>https://www.lantronix.com/products/open-q-9075iq-som/</t>
  </si>
  <si>
    <t>https://estore.lantronix.com/products/open-q-9075iq-som-system-on-module</t>
  </si>
  <si>
    <t>Advantech</t>
  </si>
  <si>
    <t>AOM-6741</t>
  </si>
  <si>
    <t>SMARC 2.2 full-size / MXM 3.0 edge</t>
  </si>
  <si>
    <t>82 × 80 mm</t>
  </si>
  <si>
    <t>Up to 100</t>
  </si>
  <si>
    <t>16 or 36 GB LPDDR5</t>
  </si>
  <si>
    <t>Optional 128 GB UFS</t>
  </si>
  <si>
    <t>1× x4 + 1× x2 (datasheet: six high-speed lanes)</t>
  </si>
  <si>
    <t>Excellent — abundant PCIe for carrier NVMe</t>
  </si>
  <si>
    <t>No onboard Wi-Fi highlighted</t>
  </si>
  <si>
    <t>Excellent — carrier can own wireless</t>
  </si>
  <si>
    <t>4× DP + 2× MIPI-DSI</t>
  </si>
  <si>
    <t>3× I²S in block diagram</t>
  </si>
  <si>
    <t>Carrier/platform dependent; verify SMARC pin mapping</t>
  </si>
  <si>
    <t>2× USB 3.2 Gen2 + USB 2.0 + dual 2.5GbE</t>
  </si>
  <si>
    <t>Ubuntu 24.04 / Ubuntu Pro; Advantech robotic suite</t>
  </si>
  <si>
    <t>Excellent — Ubuntu 24.04 explicitly supported</t>
  </si>
  <si>
    <t>-40 to +85 °C industrial SKU</t>
  </si>
  <si>
    <t>Industrial SMARC family</t>
  </si>
  <si>
    <t>Advantech channel / buy online</t>
  </si>
  <si>
    <t>Technically almost perfect and easiest high-end Linux option, but physically large and wildly overpowered for a CIC.</t>
  </si>
  <si>
    <t>https://www.advantech.com/en-us/products/77b59009-31a9-4751-bee1-45827a844421/aom-6741/mod_4a3b75c4-e256-4003-a766-f379563a2bd8</t>
  </si>
  <si>
    <t>https://advdownload.advantech.com/productfile/PIS/AOM-6741/file/AOM-6741_DS%28011326%2920260310175757.pdf</t>
  </si>
  <si>
    <t>SECO</t>
  </si>
  <si>
    <t>SOM-COMe-CT6-Dragonwing-IQ9</t>
  </si>
  <si>
    <t>COM Express Type 6 Compact</t>
  </si>
  <si>
    <t>COM Express Compact</t>
  </si>
  <si>
    <t>Kryo Gen 6 octa-core (50/100 TOPS SKUs)</t>
  </si>
  <si>
    <t>Adreno 663 up to 800 MHz</t>
  </si>
  <si>
    <t>Up to 36 GB LPDDR5 ECC</t>
  </si>
  <si>
    <t>Carrier / config dependent</t>
  </si>
  <si>
    <t>COM Express high-speed PCIe expansion</t>
  </si>
  <si>
    <t>Excellent — standard COM Express carrier approach</t>
  </si>
  <si>
    <t>Excellent — carrier owns wireless</t>
  </si>
  <si>
    <t>3× DP 1.4 + eDP or LVDS alternatives</t>
  </si>
  <si>
    <t>COM Express / platform audio</t>
  </si>
  <si>
    <t>Carrier implementation; IQ9 platform supports CAN-FD</t>
  </si>
  <si>
    <t>COM Express standard + industrial networking</t>
  </si>
  <si>
    <t>Yocto-based Clea OS; Linux ecosystem</t>
  </si>
  <si>
    <t>Good-medium — Linux strong, Ubuntu not the headline BSP</t>
  </si>
  <si>
    <t>Industrial-grade options</t>
  </si>
  <si>
    <t>Industrial long-life module</t>
  </si>
  <si>
    <t>SECO sales channel</t>
  </si>
  <si>
    <t>Very easy carrier design thanks to COM Express, but too large/expensive for a dashboard unless packaging is generous.</t>
  </si>
  <si>
    <t>https://edge.seco.com/es/som-come-ct6-dragonwing-iq9.html</t>
  </si>
  <si>
    <t>https://developer.seco.com/hardware/product/computer-on-modules/com-express-modules/som-come-ct6-iq9-f99/</t>
  </si>
  <si>
    <t>Innodisk</t>
  </si>
  <si>
    <t>EXMP-Q911</t>
  </si>
  <si>
    <t>COM-HPC Mini</t>
  </si>
  <si>
    <t>100 dense / 200 sparse</t>
  </si>
  <si>
    <t>36 GB LPDDR5X</t>
  </si>
  <si>
    <t>PCIe Gen4 high-speed expansion</t>
  </si>
  <si>
    <t>Excellent — standard carrier expansion</t>
  </si>
  <si>
    <t>Excellent — carrier can own M.2 E-key radio</t>
  </si>
  <si>
    <t>Dual DP 1.2 + platform display capability</t>
  </si>
  <si>
    <t>Carrier/platform dependent</t>
  </si>
  <si>
    <t>CAN-FD included</t>
  </si>
  <si>
    <t>USB 3.2 + dual 2.5GbE</t>
  </si>
  <si>
    <t>Linux-class industrial platform; exact distro support should be confirmed</t>
  </si>
  <si>
    <t>Good-medium — verify Ubuntu image/support with vendor</t>
  </si>
  <si>
    <t>-40 to +85 °C</t>
  </si>
  <si>
    <t>Chipset longevity cited through 2038</t>
  </si>
  <si>
    <t>Vendor / distributor</t>
  </si>
  <si>
    <t>Industrial monster with ideal modular I/O and native CAN-FD, but much more compute than CIC needs.</t>
  </si>
  <si>
    <t>https://www.qualcomm.com/support/partner/member-offerings</t>
  </si>
  <si>
    <t>Primary spec / product URL</t>
  </si>
  <si>
    <t>Secondary / platform URL</t>
  </si>
  <si>
    <t>Retrieved</t>
  </si>
  <si>
    <t>Research caveat</t>
  </si>
  <si>
    <t>Notes</t>
  </si>
  <si>
    <t>2026-09-11</t>
  </si>
  <si>
    <t>Public-data snapshot; confirm exact purchasable SKU, pinout, BSP, PCIe lane muxing, and boot-from-NVMe behavior with vendor before PCB freeze.</t>
  </si>
  <si>
    <t>Interpretation notes</t>
  </si>
  <si>
    <t>M.2 wireless</t>
  </si>
  <si>
    <t>A high rating means the compute module does not force onboard Wi-Fi/BT and exposes enough PCIe/USB for a carrier M.2 E-key solution.</t>
  </si>
  <si>
    <t>NVMe</t>
  </si>
  <si>
    <t>A high rating means at least x2 PCIe or explicit carrier-NVMe support. 'NVMe support' does not automatically prove direct boot-from-NVMe; confirm vendor boot chain.</t>
  </si>
  <si>
    <t>CAN</t>
  </si>
  <si>
    <t>Many Qualcomm SOMs do not expose a native CAN controller. A carrier can still add CAN-FD with an SPI/PCIe/USB controller plus physical transceiver.</t>
  </si>
  <si>
    <t>Ubuntu</t>
  </si>
  <si>
    <t>QCS6490 and IQ-9075 have strong public Ubuntu stories at platform level. A specific SOM still needs a matching vendor BSP/device tree/kernel package.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</si>
</sst>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5">
    <font>
      <sz val="11"/>
      <name val="Carlito"/>
    </font>
    <font>
      <b/>
      <sz val="18"/>
      <color rgb="FFFFFFFF"/>
      <name val="Carlito"/>
    </font>
    <font>
      <sz val="10"/>
      <color rgb="FFD9E4EE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6202A"/>
      </patternFill>
    </fill>
    <fill>
      <patternFill patternType="solid">
        <fgColor rgb="FF233140"/>
      </patternFill>
    </fill>
    <fill>
      <patternFill patternType="solid">
        <fgColor rgb="FF1F5B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3" fillId="4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Current weighted score — leading candidates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invertIfNegative val="1"/>
          <c:cat>
            <c:strRef>
              <c:f>Summary!$A$14:$A$25</c:f>
              <c:strCache>
                <c:ptCount val="12"/>
                <c:pt idx="0">
                  <c:v>SM2S-QCS6490</c:v>
                </c:pt>
                <c:pt idx="1">
                  <c:v>TurboX C8550 SOM</c:v>
                </c:pt>
                <c:pt idx="2">
                  <c:v>Open-Q 8550CS μSOM</c:v>
                </c:pt>
                <c:pt idx="3">
                  <c:v>Open-Q 6490CS SOM</c:v>
                </c:pt>
                <c:pt idx="4">
                  <c:v>EP-200Q</c:v>
                </c:pt>
                <c:pt idx="5">
                  <c:v>MitySOM-QC6490</c:v>
                </c:pt>
                <c:pt idx="6">
                  <c:v>Open-Q 6490CS SMARC SOM</c:v>
                </c:pt>
                <c:pt idx="7">
                  <c:v>QCS6490 LGA SOM</c:v>
                </c:pt>
                <c:pt idx="8">
                  <c:v>QCS6490 SOM (B2B)</c:v>
                </c:pt>
                <c:pt idx="9">
                  <c:v>TurboX C6490 SOM</c:v>
                </c:pt>
                <c:pt idx="10">
                  <c:v>SG560D-WF</c:v>
                </c:pt>
                <c:pt idx="11">
                  <c:v>Open-Q 8550CS SOM</c:v>
                </c:pt>
              </c:strCache>
            </c:strRef>
          </c:cat>
          <c:val>
            <c:numRef>
              <c:f>Summary!$B$14:$B$25</c:f>
              <c:numCache>
                <c:formatCode>General</c:formatCode>
                <c:ptCount val="12"/>
                <c:pt idx="0">
                  <c:v>94</c:v>
                </c:pt>
                <c:pt idx="1">
                  <c:v>84</c:v>
                </c:pt>
                <c:pt idx="2">
                  <c:v>86</c:v>
                </c:pt>
                <c:pt idx="3">
                  <c:v>91</c:v>
                </c:pt>
                <c:pt idx="4">
                  <c:v>88</c:v>
                </c:pt>
                <c:pt idx="5">
                  <c:v>91</c:v>
                </c:pt>
                <c:pt idx="6">
                  <c:v>90</c:v>
                </c:pt>
                <c:pt idx="7">
                  <c:v>64</c:v>
                </c:pt>
                <c:pt idx="8">
                  <c:v>63</c:v>
                </c:pt>
                <c:pt idx="9">
                  <c:v>64</c:v>
                </c:pt>
                <c:pt idx="10">
                  <c:v>51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2-4608-B833-5E356E60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mCandidatesTable" displayName="SomCandidatesTable" ref="A1:AJ22" totalsRowShown="0">
  <tableColumns count="36">
    <tableColumn id="1" xr3:uid="{00000000-0010-0000-0000-000001000000}" name="Vendor"/>
    <tableColumn id="2" xr3:uid="{00000000-0010-0000-0000-000002000000}" name="Module"/>
    <tableColumn id="3" xr3:uid="{00000000-0010-0000-0000-000003000000}" name="SoC"/>
    <tableColumn id="4" xr3:uid="{00000000-0010-0000-0000-000004000000}" name="Form factor / connector"/>
    <tableColumn id="5" xr3:uid="{00000000-0010-0000-0000-000005000000}" name="Dimensions"/>
    <tableColumn id="6" xr3:uid="{00000000-0010-0000-0000-000006000000}" name="CPU"/>
    <tableColumn id="7" xr3:uid="{00000000-0010-0000-0000-000007000000}" name="GPU"/>
    <tableColumn id="8" xr3:uid="{00000000-0010-0000-0000-000008000000}" name="AI TOPS"/>
    <tableColumn id="9" xr3:uid="{00000000-0010-0000-0000-000009000000}" name="RAM"/>
    <tableColumn id="10" xr3:uid="{00000000-0010-0000-0000-00000A000000}" name="On-module storage"/>
    <tableColumn id="11" xr3:uid="{00000000-0010-0000-0000-00000B000000}" name="PCIe / high-speed expansion"/>
    <tableColumn id="12" xr3:uid="{00000000-0010-0000-0000-00000C000000}" name="External NVMe / M.2 M-key fit"/>
    <tableColumn id="13" xr3:uid="{00000000-0010-0000-0000-00000D000000}" name="Wireless architecture"/>
    <tableColumn id="14" xr3:uid="{00000000-0010-0000-0000-00000E000000}" name="M.2 E-key Wi-Fi/BT fit"/>
    <tableColumn id="15" xr3:uid="{00000000-0010-0000-0000-00000F000000}" name="Display interfaces"/>
    <tableColumn id="16" xr3:uid="{00000000-0010-0000-0000-000010000000}" name="Audio interfaces"/>
    <tableColumn id="17" xr3:uid="{00000000-0010-0000-0000-000011000000}" name="Native CAN / CAN-FD"/>
    <tableColumn id="18" xr3:uid="{00000000-0010-0000-0000-000012000000}" name="USB / Ethernet"/>
    <tableColumn id="19" xr3:uid="{00000000-0010-0000-0000-000013000000}" name="OS / BSP"/>
    <tableColumn id="20" xr3:uid="{00000000-0010-0000-0000-000014000000}" name="Ubuntu 24.04 confidence"/>
    <tableColumn id="21" xr3:uid="{00000000-0010-0000-0000-000015000000}" name="Operating temperature"/>
    <tableColumn id="22" xr3:uid="{00000000-0010-0000-0000-000016000000}" name="Lifecycle / status"/>
    <tableColumn id="23" xr3:uid="{00000000-0010-0000-0000-000017000000}" name="Public price USD"/>
    <tableColumn id="24" xr3:uid="{00000000-0010-0000-0000-000018000000}" name="Purchase path"/>
    <tableColumn id="25" xr3:uid="{00000000-0010-0000-0000-000019000000}" name="Storage rating"/>
    <tableColumn id="26" xr3:uid="{00000000-0010-0000-0000-00001A000000}" name="Wireless rating"/>
    <tableColumn id="27" xr3:uid="{00000000-0010-0000-0000-00001B000000}" name="Linux rating"/>
    <tableColumn id="28" xr3:uid="{00000000-0010-0000-0000-00001C000000}" name="Carrier rating"/>
    <tableColumn id="29" xr3:uid="{00000000-0010-0000-0000-00001D000000}" name="Thermal/lifecycle rating"/>
    <tableColumn id="30" xr3:uid="{00000000-0010-0000-0000-00001E000000}" name="Compute rating"/>
    <tableColumn id="31" xr3:uid="{00000000-0010-0000-0000-00001F000000}" name="Display rating"/>
    <tableColumn id="32" xr3:uid="{00000000-0010-0000-0000-000020000000}" name="Overall score"/>
    <tableColumn id="33" xr3:uid="{00000000-0010-0000-0000-000021000000}" name="Fit tier"/>
    <tableColumn id="34" xr3:uid="{00000000-0010-0000-0000-000022000000}" name="CIC-fit notes"/>
    <tableColumn id="35" xr3:uid="{00000000-0010-0000-0000-000023000000}" name="Primary source URL"/>
    <tableColumn id="36" xr3:uid="{00000000-0010-0000-0000-000024000000}" name="Secondary 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G22" totalsRowShown="0">
  <tableColumns count="7">
    <tableColumn id="1" xr3:uid="{00000000-0010-0000-0100-000001000000}" name="Vendor"/>
    <tableColumn id="2" xr3:uid="{00000000-0010-0000-0100-000002000000}" name="Module"/>
    <tableColumn id="3" xr3:uid="{00000000-0010-0000-0100-000003000000}" name="Primary spec / product URL"/>
    <tableColumn id="4" xr3:uid="{00000000-0010-0000-0100-000004000000}" name="Secondary / platform URL"/>
    <tableColumn id="5" xr3:uid="{00000000-0010-0000-0100-000005000000}" name="Retrieved"/>
    <tableColumn id="6" xr3:uid="{00000000-0010-0000-0100-000006000000}" name="Research caveat"/>
    <tableColumn id="7" xr3:uid="{00000000-0010-0000-01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tria-technologies.com/product/tria-sm2s-qcs6490/" TargetMode="External"/><Relationship Id="rId1" Type="http://schemas.openxmlformats.org/officeDocument/2006/relationships/hyperlink" Target="https://www.advantech.com/en-us/products/77b59009-31a9-4751-bee1-45827a844421/aom-6741/mod_4a3b75c4-e256-4003-a766-f379563a2bd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workbookViewId="0">
      <selection sqref="A1:H1"/>
    </sheetView>
  </sheetViews>
  <sheetFormatPr defaultRowHeight="14.25"/>
  <cols>
    <col min="1" max="1" width="34" customWidth="1"/>
    <col min="2" max="2" width="14" customWidth="1"/>
    <col min="4" max="4" width="34" customWidth="1"/>
    <col min="5" max="5" width="44" customWidth="1"/>
    <col min="6" max="6" width="40" customWidth="1"/>
    <col min="7" max="8" width="14" customWidth="1"/>
  </cols>
  <sheetData>
    <row r="1" spans="1:8" ht="30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4" customHeight="1">
      <c r="A2" s="10" t="s">
        <v>1</v>
      </c>
      <c r="B2" s="10"/>
      <c r="C2" s="10"/>
      <c r="D2" s="10"/>
      <c r="E2" s="10"/>
      <c r="F2" s="10"/>
      <c r="G2" s="10"/>
      <c r="H2" s="10"/>
    </row>
    <row r="3" spans="1:8">
      <c r="A3" s="2"/>
      <c r="B3" s="2"/>
      <c r="C3" s="2"/>
      <c r="D3" s="2"/>
      <c r="E3" s="2"/>
      <c r="F3" s="2"/>
      <c r="G3" s="2"/>
      <c r="H3" s="2"/>
    </row>
    <row r="4" spans="1:8" ht="15">
      <c r="A4" s="1" t="s">
        <v>2</v>
      </c>
      <c r="B4" s="1" t="s">
        <v>3</v>
      </c>
      <c r="C4" s="2"/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8.5">
      <c r="A5" s="2" t="s">
        <v>9</v>
      </c>
      <c r="B5" s="3">
        <v>0.2</v>
      </c>
      <c r="C5" s="2"/>
      <c r="D5" s="2" t="s">
        <v>10</v>
      </c>
      <c r="E5" s="2" t="s">
        <v>11</v>
      </c>
      <c r="F5" s="2" t="s">
        <v>12</v>
      </c>
      <c r="G5" s="2" t="s">
        <v>13</v>
      </c>
      <c r="H5" s="4"/>
    </row>
    <row r="6" spans="1:8" ht="28.5">
      <c r="A6" s="2" t="s">
        <v>14</v>
      </c>
      <c r="B6" s="3">
        <v>0.2</v>
      </c>
      <c r="C6" s="2"/>
      <c r="D6" s="2" t="s">
        <v>15</v>
      </c>
      <c r="E6" s="2" t="s">
        <v>16</v>
      </c>
      <c r="F6" s="2" t="s">
        <v>17</v>
      </c>
      <c r="G6" s="2" t="s">
        <v>18</v>
      </c>
      <c r="H6" s="4"/>
    </row>
    <row r="7" spans="1:8" ht="28.5">
      <c r="A7" s="2" t="s">
        <v>19</v>
      </c>
      <c r="B7" s="3">
        <v>0.2</v>
      </c>
      <c r="C7" s="2"/>
      <c r="D7" s="2" t="s">
        <v>20</v>
      </c>
      <c r="E7" s="2" t="s">
        <v>21</v>
      </c>
      <c r="F7" s="2" t="s">
        <v>22</v>
      </c>
      <c r="G7" s="2" t="s">
        <v>18</v>
      </c>
      <c r="H7" s="4">
        <v>804.45</v>
      </c>
    </row>
    <row r="8" spans="1:8" ht="28.5">
      <c r="A8" s="2" t="s">
        <v>23</v>
      </c>
      <c r="B8" s="3">
        <v>0.15</v>
      </c>
      <c r="C8" s="2"/>
      <c r="D8" s="2" t="s">
        <v>24</v>
      </c>
      <c r="E8" s="2" t="s">
        <v>25</v>
      </c>
      <c r="F8" s="2" t="s">
        <v>26</v>
      </c>
      <c r="G8" s="2" t="s">
        <v>13</v>
      </c>
      <c r="H8" s="4">
        <v>315</v>
      </c>
    </row>
    <row r="9" spans="1:8">
      <c r="A9" s="2" t="s">
        <v>27</v>
      </c>
      <c r="B9" s="3">
        <v>0.1</v>
      </c>
      <c r="C9" s="2"/>
      <c r="D9" s="2" t="s">
        <v>28</v>
      </c>
      <c r="E9" s="2" t="s">
        <v>29</v>
      </c>
      <c r="F9" s="2" t="s">
        <v>30</v>
      </c>
      <c r="G9" s="2" t="s">
        <v>13</v>
      </c>
      <c r="H9" s="4"/>
    </row>
    <row r="10" spans="1:8">
      <c r="A10" s="2" t="s">
        <v>31</v>
      </c>
      <c r="B10" s="3">
        <v>0.1</v>
      </c>
      <c r="C10" s="2"/>
      <c r="D10" s="2" t="s">
        <v>32</v>
      </c>
      <c r="E10" s="2" t="s">
        <v>33</v>
      </c>
      <c r="F10" s="2" t="s">
        <v>34</v>
      </c>
      <c r="G10" s="2" t="s">
        <v>13</v>
      </c>
      <c r="H10" s="4"/>
    </row>
    <row r="11" spans="1:8">
      <c r="A11" s="2" t="s">
        <v>35</v>
      </c>
      <c r="B11" s="3">
        <v>0.05</v>
      </c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15">
      <c r="A13" s="1" t="s">
        <v>36</v>
      </c>
      <c r="B13" s="1" t="s">
        <v>37</v>
      </c>
      <c r="C13" s="2"/>
      <c r="D13" s="2"/>
      <c r="E13" s="2"/>
      <c r="F13" s="2"/>
      <c r="G13" s="2"/>
      <c r="H13" s="2"/>
    </row>
    <row r="14" spans="1:8">
      <c r="A14" s="2" t="s">
        <v>38</v>
      </c>
      <c r="B14" s="2">
        <f>'SOM Candidates'!AF2</f>
        <v>94</v>
      </c>
      <c r="C14" s="2"/>
      <c r="D14" s="2"/>
      <c r="E14" s="2"/>
      <c r="F14" s="2"/>
      <c r="G14" s="2"/>
      <c r="H14" s="2"/>
    </row>
    <row r="15" spans="1:8">
      <c r="A15" s="2" t="s">
        <v>39</v>
      </c>
      <c r="B15" s="2">
        <f>'SOM Candidates'!AF3</f>
        <v>84</v>
      </c>
      <c r="C15" s="2"/>
      <c r="D15" s="2"/>
      <c r="E15" s="2"/>
      <c r="F15" s="2"/>
      <c r="G15" s="2"/>
      <c r="H15" s="2"/>
    </row>
    <row r="16" spans="1:8">
      <c r="A16" s="2" t="s">
        <v>40</v>
      </c>
      <c r="B16" s="2">
        <f>'SOM Candidates'!AF4</f>
        <v>86</v>
      </c>
      <c r="C16" s="2"/>
      <c r="D16" s="2"/>
      <c r="E16" s="2"/>
      <c r="F16" s="2"/>
      <c r="G16" s="2"/>
      <c r="H16" s="2"/>
    </row>
    <row r="17" spans="1:8">
      <c r="A17" s="2" t="s">
        <v>41</v>
      </c>
      <c r="B17" s="2">
        <f>'SOM Candidates'!AF5</f>
        <v>91</v>
      </c>
      <c r="C17" s="2"/>
      <c r="D17" s="2"/>
      <c r="E17" s="2"/>
      <c r="F17" s="2"/>
      <c r="G17" s="2"/>
      <c r="H17" s="2"/>
    </row>
    <row r="18" spans="1:8">
      <c r="A18" s="2" t="s">
        <v>42</v>
      </c>
      <c r="B18" s="2">
        <f>'SOM Candidates'!AF6</f>
        <v>88</v>
      </c>
      <c r="C18" s="2"/>
      <c r="D18" s="2"/>
      <c r="E18" s="2"/>
      <c r="F18" s="2"/>
      <c r="G18" s="2"/>
      <c r="H18" s="2"/>
    </row>
    <row r="19" spans="1:8">
      <c r="A19" s="2" t="s">
        <v>43</v>
      </c>
      <c r="B19" s="2">
        <f>'SOM Candidates'!AF7</f>
        <v>91</v>
      </c>
      <c r="C19" s="2"/>
      <c r="D19" s="2"/>
      <c r="E19" s="2"/>
      <c r="F19" s="2"/>
      <c r="G19" s="2"/>
      <c r="H19" s="2"/>
    </row>
    <row r="20" spans="1:8">
      <c r="A20" s="2" t="s">
        <v>44</v>
      </c>
      <c r="B20" s="2">
        <f>'SOM Candidates'!AF8</f>
        <v>90</v>
      </c>
      <c r="C20" s="2"/>
      <c r="D20" s="2"/>
      <c r="E20" s="2"/>
      <c r="F20" s="2"/>
      <c r="G20" s="2"/>
      <c r="H20" s="2"/>
    </row>
    <row r="21" spans="1:8">
      <c r="A21" s="2" t="s">
        <v>45</v>
      </c>
      <c r="B21" s="2">
        <f>'SOM Candidates'!AF9</f>
        <v>64</v>
      </c>
      <c r="C21" s="2"/>
      <c r="D21" s="2"/>
      <c r="E21" s="2"/>
      <c r="F21" s="2"/>
      <c r="G21" s="2"/>
      <c r="H21" s="2"/>
    </row>
    <row r="22" spans="1:8">
      <c r="A22" s="2" t="s">
        <v>46</v>
      </c>
      <c r="B22" s="2">
        <f>'SOM Candidates'!AF10</f>
        <v>63</v>
      </c>
      <c r="C22" s="2"/>
      <c r="D22" s="2"/>
      <c r="E22" s="2"/>
      <c r="F22" s="2"/>
      <c r="G22" s="2"/>
      <c r="H22" s="2"/>
    </row>
    <row r="23" spans="1:8">
      <c r="A23" s="2" t="s">
        <v>47</v>
      </c>
      <c r="B23" s="2">
        <f>'SOM Candidates'!AF11</f>
        <v>64</v>
      </c>
      <c r="C23" s="2"/>
      <c r="D23" s="2"/>
      <c r="E23" s="2"/>
      <c r="F23" s="2"/>
      <c r="G23" s="2"/>
      <c r="H23" s="2"/>
    </row>
    <row r="24" spans="1:8">
      <c r="A24" s="2" t="s">
        <v>48</v>
      </c>
      <c r="B24" s="2">
        <f>'SOM Candidates'!AF12</f>
        <v>51</v>
      </c>
      <c r="C24" s="2"/>
      <c r="D24" s="2"/>
      <c r="E24" s="2"/>
      <c r="F24" s="2"/>
      <c r="G24" s="2"/>
      <c r="H24" s="2"/>
    </row>
    <row r="25" spans="1:8">
      <c r="A25" s="2" t="s">
        <v>49</v>
      </c>
      <c r="B25" s="2">
        <f>'SOM Candidates'!AF13</f>
        <v>70</v>
      </c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 ht="15">
      <c r="A33" s="11" t="s">
        <v>50</v>
      </c>
      <c r="B33" s="11"/>
      <c r="C33" s="11"/>
      <c r="D33" s="11"/>
      <c r="E33" s="11"/>
      <c r="F33" s="11"/>
      <c r="G33" s="11"/>
      <c r="H33" s="11"/>
    </row>
    <row r="34" spans="1:8">
      <c r="A34" s="12" t="s">
        <v>51</v>
      </c>
      <c r="B34" s="12"/>
      <c r="C34" s="12"/>
      <c r="D34" s="12"/>
      <c r="E34" s="12"/>
      <c r="F34" s="12"/>
      <c r="G34" s="12"/>
      <c r="H34" s="12"/>
    </row>
    <row r="35" spans="1:8">
      <c r="A35" s="12"/>
      <c r="B35" s="12"/>
      <c r="C35" s="12"/>
      <c r="D35" s="12"/>
      <c r="E35" s="12"/>
      <c r="F35" s="12"/>
      <c r="G35" s="12"/>
      <c r="H35" s="12"/>
    </row>
    <row r="36" spans="1:8">
      <c r="A36" s="12"/>
      <c r="B36" s="12"/>
      <c r="C36" s="12"/>
      <c r="D36" s="12"/>
      <c r="E36" s="12"/>
      <c r="F36" s="12"/>
      <c r="G36" s="12"/>
      <c r="H36" s="12"/>
    </row>
    <row r="37" spans="1:8">
      <c r="A37" s="12"/>
      <c r="B37" s="12"/>
      <c r="C37" s="12"/>
      <c r="D37" s="12"/>
      <c r="E37" s="12"/>
      <c r="F37" s="12"/>
      <c r="G37" s="12"/>
      <c r="H37" s="1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</sheetData>
  <mergeCells count="4">
    <mergeCell ref="A1:H1"/>
    <mergeCell ref="A2:H2"/>
    <mergeCell ref="A33:H33"/>
    <mergeCell ref="A34:H37"/>
  </mergeCells>
  <conditionalFormatting sqref="B5:B11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{8213237C-262D-8CED-9257-E0A72B4BD1FC}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13237C-262D-8CED-9257-E0A72B4BD1FC}">
            <x14:dataBar>
              <x14:cfvo type="min"/>
              <x14:cfvo type="max"/>
              <x14:negativeFillColor auto="1"/>
              <x14:axisColor auto="1"/>
            </x14:dataBar>
          </x14:cfRule>
          <xm:sqref>B5:B11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"/>
  <sheetViews>
    <sheetView tabSelected="1" topLeftCell="A6" workbookViewId="0">
      <selection activeCell="AI2" sqref="AI2"/>
    </sheetView>
  </sheetViews>
  <sheetFormatPr defaultRowHeight="14.25"/>
  <cols>
    <col min="1" max="1" width="16" customWidth="1"/>
    <col min="2" max="2" width="28" customWidth="1"/>
    <col min="3" max="3" width="14" customWidth="1"/>
    <col min="4" max="4" width="24" customWidth="1"/>
    <col min="5" max="5" width="22" customWidth="1"/>
    <col min="6" max="6" width="42" customWidth="1"/>
    <col min="7" max="7" width="22" customWidth="1"/>
    <col min="8" max="8" width="12" customWidth="1"/>
    <col min="9" max="9" width="22" customWidth="1"/>
    <col min="10" max="10" width="26" customWidth="1"/>
    <col min="11" max="11" width="34" customWidth="1"/>
    <col min="12" max="12" width="36" customWidth="1"/>
    <col min="13" max="13" width="34" customWidth="1"/>
    <col min="14" max="14" width="38" customWidth="1"/>
    <col min="15" max="15" width="36" customWidth="1"/>
    <col min="16" max="18" width="30" customWidth="1"/>
    <col min="19" max="19" width="34" customWidth="1"/>
    <col min="20" max="20" width="30" customWidth="1"/>
    <col min="21" max="21" width="24" customWidth="1"/>
    <col min="22" max="22" width="28" customWidth="1"/>
    <col min="23" max="23" width="15" customWidth="1"/>
    <col min="24" max="24" width="20" customWidth="1"/>
    <col min="25" max="28" width="12" customWidth="1"/>
    <col min="29" max="29" width="16" customWidth="1"/>
    <col min="30" max="31" width="12" customWidth="1"/>
    <col min="32" max="32" width="14" customWidth="1"/>
    <col min="33" max="33" width="18" customWidth="1"/>
    <col min="34" max="34" width="52" customWidth="1"/>
    <col min="35" max="36" width="44" customWidth="1"/>
  </cols>
  <sheetData>
    <row r="1" spans="1:36" ht="45.95" customHeight="1">
      <c r="A1" s="1" t="s">
        <v>52</v>
      </c>
      <c r="B1" s="1" t="s">
        <v>53</v>
      </c>
      <c r="C1" s="1" t="s">
        <v>7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</row>
    <row r="2" spans="1:36" ht="42.75">
      <c r="A2" s="5" t="s">
        <v>87</v>
      </c>
      <c r="B2" s="5" t="s">
        <v>38</v>
      </c>
      <c r="C2" s="5" t="s">
        <v>13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" t="s">
        <v>98</v>
      </c>
      <c r="O2" s="5" t="s">
        <v>99</v>
      </c>
      <c r="P2" s="5" t="s">
        <v>100</v>
      </c>
      <c r="Q2" s="5" t="s">
        <v>101</v>
      </c>
      <c r="R2" s="5" t="s">
        <v>102</v>
      </c>
      <c r="S2" s="5" t="s">
        <v>103</v>
      </c>
      <c r="T2" s="5" t="s">
        <v>104</v>
      </c>
      <c r="U2" s="5" t="s">
        <v>105</v>
      </c>
      <c r="V2" s="5" t="s">
        <v>106</v>
      </c>
      <c r="W2" s="6"/>
      <c r="X2" s="5" t="s">
        <v>107</v>
      </c>
      <c r="Y2" s="7">
        <v>5</v>
      </c>
      <c r="Z2" s="7">
        <v>5</v>
      </c>
      <c r="AA2" s="7">
        <v>4</v>
      </c>
      <c r="AB2" s="7">
        <v>5</v>
      </c>
      <c r="AC2" s="7">
        <v>5</v>
      </c>
      <c r="AD2" s="7">
        <v>4</v>
      </c>
      <c r="AE2" s="7">
        <v>5</v>
      </c>
      <c r="AF2" s="7">
        <f>ROUND((Y2*Summary!$B$5+Z2*Summary!$B$6+AA2*Summary!$B$7+AB2*Summary!$B$8+AC2*Summary!$B$9+AD2*Summary!$B$10+AE2*Summary!$B$11)*20,0)</f>
        <v>94</v>
      </c>
      <c r="AG2" s="5" t="str">
        <f t="shared" ref="AG2:AG22" si="0">IF(AF2&gt;=85,"Strong shortlist",IF(AF2&gt;=75,"Good fit",IF(AF2&gt;=65,"Viable","Secondary")))</f>
        <v>Strong shortlist</v>
      </c>
      <c r="AH2" s="5" t="s">
        <v>108</v>
      </c>
      <c r="AI2" s="13" t="s">
        <v>109</v>
      </c>
      <c r="AJ2" s="5" t="s">
        <v>110</v>
      </c>
    </row>
    <row r="3" spans="1:36" ht="42.75">
      <c r="A3" s="5" t="s">
        <v>111</v>
      </c>
      <c r="B3" s="5" t="s">
        <v>39</v>
      </c>
      <c r="C3" s="5" t="s">
        <v>18</v>
      </c>
      <c r="D3" s="5" t="s">
        <v>112</v>
      </c>
      <c r="E3" s="5" t="s">
        <v>113</v>
      </c>
      <c r="F3" s="5" t="s">
        <v>114</v>
      </c>
      <c r="G3" s="5" t="s">
        <v>115</v>
      </c>
      <c r="H3" s="5" t="s">
        <v>116</v>
      </c>
      <c r="I3" s="5" t="s">
        <v>117</v>
      </c>
      <c r="J3" s="5" t="s">
        <v>118</v>
      </c>
      <c r="K3" s="5" t="s">
        <v>119</v>
      </c>
      <c r="L3" s="5" t="s">
        <v>120</v>
      </c>
      <c r="M3" s="5" t="s">
        <v>121</v>
      </c>
      <c r="N3" s="5" t="s">
        <v>122</v>
      </c>
      <c r="O3" s="5" t="s">
        <v>123</v>
      </c>
      <c r="P3" s="5" t="s">
        <v>124</v>
      </c>
      <c r="Q3" s="5" t="s">
        <v>125</v>
      </c>
      <c r="R3" s="5" t="s">
        <v>126</v>
      </c>
      <c r="S3" s="5" t="s">
        <v>127</v>
      </c>
      <c r="T3" s="5" t="s">
        <v>128</v>
      </c>
      <c r="U3" s="5" t="s">
        <v>129</v>
      </c>
      <c r="V3" s="5" t="s">
        <v>130</v>
      </c>
      <c r="W3" s="6"/>
      <c r="X3" s="5" t="s">
        <v>131</v>
      </c>
      <c r="Y3" s="7">
        <v>5</v>
      </c>
      <c r="Z3" s="7">
        <v>5</v>
      </c>
      <c r="AA3" s="7">
        <v>3</v>
      </c>
      <c r="AB3" s="7">
        <v>3</v>
      </c>
      <c r="AC3" s="7">
        <v>4</v>
      </c>
      <c r="AD3" s="7">
        <v>5</v>
      </c>
      <c r="AE3" s="7">
        <v>5</v>
      </c>
      <c r="AF3" s="7">
        <f>ROUND((Y3*Summary!$B$5+Z3*Summary!$B$6+AA3*Summary!$B$7+AB3*Summary!$B$8+AC3*Summary!$B$9+AD3*Summary!$B$10+AE3*Summary!$B$11)*20,0)</f>
        <v>84</v>
      </c>
      <c r="AG3" s="5" t="str">
        <f t="shared" si="0"/>
        <v>Good fit</v>
      </c>
      <c r="AH3" s="5" t="s">
        <v>132</v>
      </c>
      <c r="AI3" s="5" t="s">
        <v>133</v>
      </c>
      <c r="AJ3" s="5" t="s">
        <v>134</v>
      </c>
    </row>
    <row r="4" spans="1:36" ht="42.75">
      <c r="A4" s="5" t="s">
        <v>135</v>
      </c>
      <c r="B4" s="5" t="s">
        <v>40</v>
      </c>
      <c r="C4" s="5" t="s">
        <v>18</v>
      </c>
      <c r="D4" s="5" t="s">
        <v>136</v>
      </c>
      <c r="E4" s="5" t="s">
        <v>137</v>
      </c>
      <c r="F4" s="5" t="s">
        <v>114</v>
      </c>
      <c r="G4" s="5" t="s">
        <v>115</v>
      </c>
      <c r="H4" s="5" t="s">
        <v>116</v>
      </c>
      <c r="I4" s="5" t="s">
        <v>138</v>
      </c>
      <c r="J4" s="5" t="s">
        <v>139</v>
      </c>
      <c r="K4" s="5" t="s">
        <v>140</v>
      </c>
      <c r="L4" s="5" t="s">
        <v>141</v>
      </c>
      <c r="M4" s="5" t="s">
        <v>142</v>
      </c>
      <c r="N4" s="5" t="s">
        <v>143</v>
      </c>
      <c r="O4" s="5" t="s">
        <v>144</v>
      </c>
      <c r="P4" s="5" t="s">
        <v>145</v>
      </c>
      <c r="Q4" s="5" t="s">
        <v>146</v>
      </c>
      <c r="R4" s="5" t="s">
        <v>147</v>
      </c>
      <c r="S4" s="5" t="s">
        <v>148</v>
      </c>
      <c r="T4" s="5" t="s">
        <v>149</v>
      </c>
      <c r="U4" s="5" t="s">
        <v>150</v>
      </c>
      <c r="V4" s="5" t="s">
        <v>151</v>
      </c>
      <c r="W4" s="6">
        <v>804.45</v>
      </c>
      <c r="X4" s="5" t="s">
        <v>152</v>
      </c>
      <c r="Y4" s="7">
        <v>5</v>
      </c>
      <c r="Z4" s="7">
        <v>5</v>
      </c>
      <c r="AA4" s="7">
        <v>3</v>
      </c>
      <c r="AB4" s="7">
        <v>3</v>
      </c>
      <c r="AC4" s="7">
        <v>5</v>
      </c>
      <c r="AD4" s="7">
        <v>5</v>
      </c>
      <c r="AE4" s="7">
        <v>5</v>
      </c>
      <c r="AF4" s="7">
        <f>ROUND((Y4*Summary!$B$5+Z4*Summary!$B$6+AA4*Summary!$B$7+AB4*Summary!$B$8+AC4*Summary!$B$9+AD4*Summary!$B$10+AE4*Summary!$B$11)*20,0)</f>
        <v>86</v>
      </c>
      <c r="AG4" s="5" t="str">
        <f t="shared" si="0"/>
        <v>Strong shortlist</v>
      </c>
      <c r="AH4" s="5" t="s">
        <v>153</v>
      </c>
      <c r="AI4" s="5" t="s">
        <v>154</v>
      </c>
      <c r="AJ4" s="5" t="s">
        <v>155</v>
      </c>
    </row>
    <row r="5" spans="1:36" ht="42.75">
      <c r="A5" s="5" t="s">
        <v>135</v>
      </c>
      <c r="B5" s="5" t="s">
        <v>41</v>
      </c>
      <c r="C5" s="5" t="s">
        <v>13</v>
      </c>
      <c r="D5" s="5" t="s">
        <v>156</v>
      </c>
      <c r="E5" s="5" t="s">
        <v>157</v>
      </c>
      <c r="F5" s="5" t="s">
        <v>158</v>
      </c>
      <c r="G5" s="5" t="s">
        <v>159</v>
      </c>
      <c r="H5" s="5" t="s">
        <v>160</v>
      </c>
      <c r="I5" s="5" t="s">
        <v>161</v>
      </c>
      <c r="J5" s="5" t="s">
        <v>162</v>
      </c>
      <c r="K5" s="5" t="s">
        <v>163</v>
      </c>
      <c r="L5" s="5" t="s">
        <v>164</v>
      </c>
      <c r="M5" s="5" t="s">
        <v>165</v>
      </c>
      <c r="N5" s="5" t="s">
        <v>166</v>
      </c>
      <c r="O5" s="5" t="s">
        <v>167</v>
      </c>
      <c r="P5" s="5" t="s">
        <v>168</v>
      </c>
      <c r="Q5" s="5" t="s">
        <v>169</v>
      </c>
      <c r="R5" s="5" t="s">
        <v>170</v>
      </c>
      <c r="S5" s="5" t="s">
        <v>171</v>
      </c>
      <c r="T5" s="5" t="s">
        <v>172</v>
      </c>
      <c r="U5" s="5" t="s">
        <v>173</v>
      </c>
      <c r="V5" s="5" t="s">
        <v>174</v>
      </c>
      <c r="W5" s="6">
        <v>315</v>
      </c>
      <c r="X5" s="5" t="s">
        <v>152</v>
      </c>
      <c r="Y5" s="7">
        <v>5</v>
      </c>
      <c r="Z5" s="7">
        <v>5</v>
      </c>
      <c r="AA5" s="7">
        <v>4</v>
      </c>
      <c r="AB5" s="7">
        <v>4</v>
      </c>
      <c r="AC5" s="7">
        <v>5</v>
      </c>
      <c r="AD5" s="7">
        <v>4</v>
      </c>
      <c r="AE5" s="7">
        <v>5</v>
      </c>
      <c r="AF5" s="7">
        <f>ROUND((Y5*Summary!$B$5+Z5*Summary!$B$6+AA5*Summary!$B$7+AB5*Summary!$B$8+AC5*Summary!$B$9+AD5*Summary!$B$10+AE5*Summary!$B$11)*20,0)</f>
        <v>91</v>
      </c>
      <c r="AG5" s="5" t="str">
        <f t="shared" si="0"/>
        <v>Strong shortlist</v>
      </c>
      <c r="AH5" s="5" t="s">
        <v>175</v>
      </c>
      <c r="AI5" s="5" t="s">
        <v>176</v>
      </c>
      <c r="AJ5" s="5" t="s">
        <v>177</v>
      </c>
    </row>
    <row r="6" spans="1:36" ht="57">
      <c r="A6" s="5" t="s">
        <v>178</v>
      </c>
      <c r="B6" s="5" t="s">
        <v>42</v>
      </c>
      <c r="C6" s="5" t="s">
        <v>13</v>
      </c>
      <c r="D6" s="5" t="s">
        <v>179</v>
      </c>
      <c r="E6" s="5" t="s">
        <v>180</v>
      </c>
      <c r="F6" s="5" t="s">
        <v>181</v>
      </c>
      <c r="G6" s="5" t="s">
        <v>182</v>
      </c>
      <c r="H6" s="5" t="s">
        <v>183</v>
      </c>
      <c r="I6" s="5" t="s">
        <v>184</v>
      </c>
      <c r="J6" s="5" t="s">
        <v>185</v>
      </c>
      <c r="K6" s="5" t="s">
        <v>186</v>
      </c>
      <c r="L6" s="5" t="s">
        <v>187</v>
      </c>
      <c r="M6" s="5" t="s">
        <v>188</v>
      </c>
      <c r="N6" s="5" t="s">
        <v>189</v>
      </c>
      <c r="O6" s="5" t="s">
        <v>190</v>
      </c>
      <c r="P6" s="5" t="s">
        <v>191</v>
      </c>
      <c r="Q6" s="5" t="s">
        <v>192</v>
      </c>
      <c r="R6" s="5" t="s">
        <v>193</v>
      </c>
      <c r="S6" s="5" t="s">
        <v>194</v>
      </c>
      <c r="T6" s="5" t="s">
        <v>195</v>
      </c>
      <c r="U6" s="5" t="s">
        <v>196</v>
      </c>
      <c r="V6" s="5" t="s">
        <v>197</v>
      </c>
      <c r="W6" s="6"/>
      <c r="X6" s="5" t="s">
        <v>131</v>
      </c>
      <c r="Y6" s="7">
        <v>5</v>
      </c>
      <c r="Z6" s="7">
        <v>5</v>
      </c>
      <c r="AA6" s="7">
        <v>3</v>
      </c>
      <c r="AB6" s="7">
        <v>5</v>
      </c>
      <c r="AC6" s="7">
        <v>4</v>
      </c>
      <c r="AD6" s="7">
        <v>4</v>
      </c>
      <c r="AE6" s="7">
        <v>5</v>
      </c>
      <c r="AF6" s="7">
        <f>ROUND((Y6*Summary!$B$5+Z6*Summary!$B$6+AA6*Summary!$B$7+AB6*Summary!$B$8+AC6*Summary!$B$9+AD6*Summary!$B$10+AE6*Summary!$B$11)*20,0)</f>
        <v>88</v>
      </c>
      <c r="AG6" s="5" t="str">
        <f t="shared" si="0"/>
        <v>Strong shortlist</v>
      </c>
      <c r="AH6" s="5" t="s">
        <v>198</v>
      </c>
      <c r="AI6" s="5" t="s">
        <v>199</v>
      </c>
      <c r="AJ6" s="5" t="s">
        <v>110</v>
      </c>
    </row>
    <row r="7" spans="1:36" ht="42.75">
      <c r="A7" s="5" t="s">
        <v>200</v>
      </c>
      <c r="B7" s="5" t="s">
        <v>43</v>
      </c>
      <c r="C7" s="5" t="s">
        <v>13</v>
      </c>
      <c r="D7" s="5" t="s">
        <v>156</v>
      </c>
      <c r="E7" s="5" t="s">
        <v>201</v>
      </c>
      <c r="F7" s="5" t="s">
        <v>202</v>
      </c>
      <c r="G7" s="5" t="s">
        <v>203</v>
      </c>
      <c r="H7" s="5" t="s">
        <v>160</v>
      </c>
      <c r="I7" s="5" t="s">
        <v>204</v>
      </c>
      <c r="J7" s="5" t="s">
        <v>205</v>
      </c>
      <c r="K7" s="5" t="s">
        <v>206</v>
      </c>
      <c r="L7" s="5" t="s">
        <v>207</v>
      </c>
      <c r="M7" s="5" t="s">
        <v>208</v>
      </c>
      <c r="N7" s="5" t="s">
        <v>209</v>
      </c>
      <c r="O7" s="5" t="s">
        <v>210</v>
      </c>
      <c r="P7" s="5" t="s">
        <v>211</v>
      </c>
      <c r="Q7" s="5" t="s">
        <v>192</v>
      </c>
      <c r="R7" s="5" t="s">
        <v>212</v>
      </c>
      <c r="S7" s="5" t="s">
        <v>213</v>
      </c>
      <c r="T7" s="5" t="s">
        <v>214</v>
      </c>
      <c r="U7" s="5" t="s">
        <v>215</v>
      </c>
      <c r="V7" s="5" t="s">
        <v>216</v>
      </c>
      <c r="W7" s="6"/>
      <c r="X7" s="5" t="s">
        <v>217</v>
      </c>
      <c r="Y7" s="7">
        <v>5</v>
      </c>
      <c r="Z7" s="7">
        <v>4</v>
      </c>
      <c r="AA7" s="7">
        <v>5</v>
      </c>
      <c r="AB7" s="7">
        <v>4</v>
      </c>
      <c r="AC7" s="7">
        <v>5</v>
      </c>
      <c r="AD7" s="7">
        <v>4</v>
      </c>
      <c r="AE7" s="7">
        <v>5</v>
      </c>
      <c r="AF7" s="7">
        <f>ROUND((Y7*Summary!$B$5+Z7*Summary!$B$6+AA7*Summary!$B$7+AB7*Summary!$B$8+AC7*Summary!$B$9+AD7*Summary!$B$10+AE7*Summary!$B$11)*20,0)</f>
        <v>91</v>
      </c>
      <c r="AG7" s="5" t="str">
        <f t="shared" si="0"/>
        <v>Strong shortlist</v>
      </c>
      <c r="AH7" s="5" t="s">
        <v>218</v>
      </c>
      <c r="AI7" s="5" t="s">
        <v>219</v>
      </c>
      <c r="AJ7" s="5" t="s">
        <v>110</v>
      </c>
    </row>
    <row r="8" spans="1:36" ht="42.75">
      <c r="A8" s="5" t="s">
        <v>135</v>
      </c>
      <c r="B8" s="5" t="s">
        <v>44</v>
      </c>
      <c r="C8" s="5" t="s">
        <v>13</v>
      </c>
      <c r="D8" s="5" t="s">
        <v>220</v>
      </c>
      <c r="E8" s="5" t="s">
        <v>221</v>
      </c>
      <c r="F8" s="5" t="s">
        <v>181</v>
      </c>
      <c r="G8" s="5" t="s">
        <v>159</v>
      </c>
      <c r="H8" s="5" t="s">
        <v>160</v>
      </c>
      <c r="I8" s="5" t="s">
        <v>222</v>
      </c>
      <c r="J8" s="5" t="s">
        <v>223</v>
      </c>
      <c r="K8" s="5" t="s">
        <v>224</v>
      </c>
      <c r="L8" s="5" t="s">
        <v>225</v>
      </c>
      <c r="M8" s="5" t="s">
        <v>226</v>
      </c>
      <c r="N8" s="5" t="s">
        <v>227</v>
      </c>
      <c r="O8" s="5" t="s">
        <v>228</v>
      </c>
      <c r="P8" s="5" t="s">
        <v>229</v>
      </c>
      <c r="Q8" s="5" t="s">
        <v>230</v>
      </c>
      <c r="R8" s="5" t="s">
        <v>231</v>
      </c>
      <c r="S8" s="5" t="s">
        <v>171</v>
      </c>
      <c r="T8" s="5" t="s">
        <v>232</v>
      </c>
      <c r="U8" s="5" t="s">
        <v>233</v>
      </c>
      <c r="V8" s="5" t="s">
        <v>234</v>
      </c>
      <c r="W8" s="6">
        <v>635.70000000000005</v>
      </c>
      <c r="X8" s="5" t="s">
        <v>152</v>
      </c>
      <c r="Y8" s="7">
        <v>5</v>
      </c>
      <c r="Z8" s="7">
        <v>4</v>
      </c>
      <c r="AA8" s="7">
        <v>4</v>
      </c>
      <c r="AB8" s="7">
        <v>5</v>
      </c>
      <c r="AC8" s="7">
        <v>5</v>
      </c>
      <c r="AD8" s="7">
        <v>4</v>
      </c>
      <c r="AE8" s="7">
        <v>5</v>
      </c>
      <c r="AF8" s="7">
        <f>ROUND((Y8*Summary!$B$5+Z8*Summary!$B$6+AA8*Summary!$B$7+AB8*Summary!$B$8+AC8*Summary!$B$9+AD8*Summary!$B$10+AE8*Summary!$B$11)*20,0)</f>
        <v>90</v>
      </c>
      <c r="AG8" s="5" t="str">
        <f t="shared" si="0"/>
        <v>Strong shortlist</v>
      </c>
      <c r="AH8" s="5" t="s">
        <v>235</v>
      </c>
      <c r="AI8" s="5" t="s">
        <v>236</v>
      </c>
      <c r="AJ8" s="5" t="s">
        <v>237</v>
      </c>
    </row>
    <row r="9" spans="1:36" ht="28.5">
      <c r="A9" s="5" t="s">
        <v>238</v>
      </c>
      <c r="B9" s="5" t="s">
        <v>45</v>
      </c>
      <c r="C9" s="5" t="s">
        <v>13</v>
      </c>
      <c r="D9" s="5" t="s">
        <v>112</v>
      </c>
      <c r="E9" s="5" t="s">
        <v>239</v>
      </c>
      <c r="F9" s="5" t="s">
        <v>202</v>
      </c>
      <c r="G9" s="5" t="s">
        <v>203</v>
      </c>
      <c r="H9" s="5" t="s">
        <v>160</v>
      </c>
      <c r="I9" s="5" t="s">
        <v>240</v>
      </c>
      <c r="J9" s="5" t="s">
        <v>241</v>
      </c>
      <c r="K9" s="5" t="s">
        <v>242</v>
      </c>
      <c r="L9" s="5" t="s">
        <v>243</v>
      </c>
      <c r="M9" s="5" t="s">
        <v>244</v>
      </c>
      <c r="N9" s="5" t="s">
        <v>245</v>
      </c>
      <c r="O9" s="5" t="s">
        <v>246</v>
      </c>
      <c r="P9" s="5" t="s">
        <v>247</v>
      </c>
      <c r="Q9" s="5" t="s">
        <v>192</v>
      </c>
      <c r="R9" s="5" t="s">
        <v>248</v>
      </c>
      <c r="S9" s="5" t="s">
        <v>249</v>
      </c>
      <c r="T9" s="5" t="s">
        <v>250</v>
      </c>
      <c r="U9" s="5" t="s">
        <v>251</v>
      </c>
      <c r="V9" s="5" t="s">
        <v>252</v>
      </c>
      <c r="W9" s="6"/>
      <c r="X9" s="5" t="s">
        <v>253</v>
      </c>
      <c r="Y9" s="7">
        <v>5</v>
      </c>
      <c r="Z9" s="7">
        <v>1</v>
      </c>
      <c r="AA9" s="7">
        <v>3</v>
      </c>
      <c r="AB9" s="7">
        <v>3</v>
      </c>
      <c r="AC9" s="7">
        <v>3</v>
      </c>
      <c r="AD9" s="7">
        <v>4</v>
      </c>
      <c r="AE9" s="7">
        <v>5</v>
      </c>
      <c r="AF9" s="7">
        <f>ROUND((Y9*Summary!$B$5+Z9*Summary!$B$6+AA9*Summary!$B$7+AB9*Summary!$B$8+AC9*Summary!$B$9+AD9*Summary!$B$10+AE9*Summary!$B$11)*20,0)</f>
        <v>64</v>
      </c>
      <c r="AG9" s="5" t="str">
        <f t="shared" si="0"/>
        <v>Secondary</v>
      </c>
      <c r="AH9" s="5" t="s">
        <v>254</v>
      </c>
      <c r="AI9" s="5" t="s">
        <v>255</v>
      </c>
      <c r="AJ9" s="5" t="s">
        <v>256</v>
      </c>
    </row>
    <row r="10" spans="1:36" ht="28.5">
      <c r="A10" s="5" t="s">
        <v>238</v>
      </c>
      <c r="B10" s="5" t="s">
        <v>46</v>
      </c>
      <c r="C10" s="5" t="s">
        <v>13</v>
      </c>
      <c r="D10" s="5" t="s">
        <v>257</v>
      </c>
      <c r="E10" s="5" t="s">
        <v>258</v>
      </c>
      <c r="F10" s="5" t="s">
        <v>202</v>
      </c>
      <c r="G10" s="5" t="s">
        <v>203</v>
      </c>
      <c r="H10" s="5" t="s">
        <v>160</v>
      </c>
      <c r="I10" s="5" t="s">
        <v>259</v>
      </c>
      <c r="J10" s="5" t="s">
        <v>260</v>
      </c>
      <c r="K10" s="5" t="s">
        <v>261</v>
      </c>
      <c r="L10" s="5" t="s">
        <v>262</v>
      </c>
      <c r="M10" s="5" t="s">
        <v>263</v>
      </c>
      <c r="N10" s="5" t="s">
        <v>264</v>
      </c>
      <c r="O10" s="5" t="s">
        <v>246</v>
      </c>
      <c r="P10" s="5" t="s">
        <v>265</v>
      </c>
      <c r="Q10" s="5" t="s">
        <v>192</v>
      </c>
      <c r="R10" s="5" t="s">
        <v>248</v>
      </c>
      <c r="S10" s="5" t="s">
        <v>266</v>
      </c>
      <c r="T10" s="5" t="s">
        <v>267</v>
      </c>
      <c r="U10" s="5" t="s">
        <v>251</v>
      </c>
      <c r="V10" s="5" t="s">
        <v>268</v>
      </c>
      <c r="W10" s="6"/>
      <c r="X10" s="5" t="s">
        <v>253</v>
      </c>
      <c r="Y10" s="7">
        <v>4</v>
      </c>
      <c r="Z10" s="7">
        <v>1</v>
      </c>
      <c r="AA10" s="7">
        <v>3</v>
      </c>
      <c r="AB10" s="7">
        <v>4</v>
      </c>
      <c r="AC10" s="7">
        <v>3</v>
      </c>
      <c r="AD10" s="7">
        <v>4</v>
      </c>
      <c r="AE10" s="7">
        <v>5</v>
      </c>
      <c r="AF10" s="7">
        <f>ROUND((Y10*Summary!$B$5+Z10*Summary!$B$6+AA10*Summary!$B$7+AB10*Summary!$B$8+AC10*Summary!$B$9+AD10*Summary!$B$10+AE10*Summary!$B$11)*20,0)</f>
        <v>63</v>
      </c>
      <c r="AG10" s="5" t="str">
        <f t="shared" si="0"/>
        <v>Secondary</v>
      </c>
      <c r="AH10" s="5" t="s">
        <v>269</v>
      </c>
      <c r="AI10" s="5" t="s">
        <v>270</v>
      </c>
      <c r="AJ10" s="5" t="s">
        <v>256</v>
      </c>
    </row>
    <row r="11" spans="1:36" ht="28.5">
      <c r="A11" s="5" t="s">
        <v>111</v>
      </c>
      <c r="B11" s="5" t="s">
        <v>47</v>
      </c>
      <c r="C11" s="5" t="s">
        <v>13</v>
      </c>
      <c r="D11" s="5" t="s">
        <v>112</v>
      </c>
      <c r="E11" s="5" t="s">
        <v>271</v>
      </c>
      <c r="F11" s="5" t="s">
        <v>272</v>
      </c>
      <c r="G11" s="5" t="s">
        <v>273</v>
      </c>
      <c r="H11" s="5" t="s">
        <v>274</v>
      </c>
      <c r="I11" s="5" t="s">
        <v>275</v>
      </c>
      <c r="J11" s="5" t="s">
        <v>276</v>
      </c>
      <c r="K11" s="5" t="s">
        <v>277</v>
      </c>
      <c r="L11" s="5" t="s">
        <v>278</v>
      </c>
      <c r="M11" s="5" t="s">
        <v>279</v>
      </c>
      <c r="N11" s="5" t="s">
        <v>280</v>
      </c>
      <c r="O11" s="5" t="s">
        <v>281</v>
      </c>
      <c r="P11" s="5" t="s">
        <v>282</v>
      </c>
      <c r="Q11" s="5" t="s">
        <v>192</v>
      </c>
      <c r="R11" s="5" t="s">
        <v>283</v>
      </c>
      <c r="S11" s="5" t="s">
        <v>284</v>
      </c>
      <c r="T11" s="5" t="s">
        <v>285</v>
      </c>
      <c r="U11" s="5" t="s">
        <v>196</v>
      </c>
      <c r="V11" s="5" t="s">
        <v>286</v>
      </c>
      <c r="W11" s="6"/>
      <c r="X11" s="5" t="s">
        <v>131</v>
      </c>
      <c r="Y11" s="7">
        <v>4</v>
      </c>
      <c r="Z11" s="7">
        <v>1</v>
      </c>
      <c r="AA11" s="7">
        <v>3</v>
      </c>
      <c r="AB11" s="7">
        <v>3</v>
      </c>
      <c r="AC11" s="7">
        <v>5</v>
      </c>
      <c r="AD11" s="7">
        <v>4</v>
      </c>
      <c r="AE11" s="7">
        <v>5</v>
      </c>
      <c r="AF11" s="7">
        <f>ROUND((Y11*Summary!$B$5+Z11*Summary!$B$6+AA11*Summary!$B$7+AB11*Summary!$B$8+AC11*Summary!$B$9+AD11*Summary!$B$10+AE11*Summary!$B$11)*20,0)</f>
        <v>64</v>
      </c>
      <c r="AG11" s="5" t="str">
        <f t="shared" si="0"/>
        <v>Secondary</v>
      </c>
      <c r="AH11" s="5" t="s">
        <v>287</v>
      </c>
      <c r="AI11" s="5" t="s">
        <v>288</v>
      </c>
      <c r="AJ11" s="5" t="s">
        <v>110</v>
      </c>
    </row>
    <row r="12" spans="1:36" ht="42.75">
      <c r="A12" s="5" t="s">
        <v>289</v>
      </c>
      <c r="B12" s="5" t="s">
        <v>48</v>
      </c>
      <c r="C12" s="5" t="s">
        <v>13</v>
      </c>
      <c r="D12" s="5" t="s">
        <v>290</v>
      </c>
      <c r="E12" s="5" t="s">
        <v>291</v>
      </c>
      <c r="F12" s="5" t="s">
        <v>202</v>
      </c>
      <c r="G12" s="5" t="s">
        <v>203</v>
      </c>
      <c r="H12" s="5" t="s">
        <v>292</v>
      </c>
      <c r="I12" s="5" t="s">
        <v>293</v>
      </c>
      <c r="J12" s="5" t="s">
        <v>294</v>
      </c>
      <c r="K12" s="5" t="s">
        <v>295</v>
      </c>
      <c r="L12" s="5" t="s">
        <v>296</v>
      </c>
      <c r="M12" s="5" t="s">
        <v>297</v>
      </c>
      <c r="N12" s="5" t="s">
        <v>298</v>
      </c>
      <c r="O12" s="5" t="s">
        <v>299</v>
      </c>
      <c r="P12" s="5" t="s">
        <v>300</v>
      </c>
      <c r="Q12" s="5" t="s">
        <v>301</v>
      </c>
      <c r="R12" s="5" t="s">
        <v>302</v>
      </c>
      <c r="S12" s="5" t="s">
        <v>303</v>
      </c>
      <c r="T12" s="5" t="s">
        <v>304</v>
      </c>
      <c r="U12" s="5" t="s">
        <v>305</v>
      </c>
      <c r="V12" s="5" t="s">
        <v>306</v>
      </c>
      <c r="W12" s="6"/>
      <c r="X12" s="5" t="s">
        <v>307</v>
      </c>
      <c r="Y12" s="7">
        <v>3</v>
      </c>
      <c r="Z12" s="7">
        <v>1</v>
      </c>
      <c r="AA12" s="7">
        <v>2</v>
      </c>
      <c r="AB12" s="7">
        <v>3</v>
      </c>
      <c r="AC12" s="7">
        <v>3</v>
      </c>
      <c r="AD12" s="7">
        <v>4</v>
      </c>
      <c r="AE12" s="7">
        <v>4</v>
      </c>
      <c r="AF12" s="7">
        <f>ROUND((Y12*Summary!$B$5+Z12*Summary!$B$6+AA12*Summary!$B$7+AB12*Summary!$B$8+AC12*Summary!$B$9+AD12*Summary!$B$10+AE12*Summary!$B$11)*20,0)</f>
        <v>51</v>
      </c>
      <c r="AG12" s="5" t="str">
        <f t="shared" si="0"/>
        <v>Secondary</v>
      </c>
      <c r="AH12" s="5" t="s">
        <v>308</v>
      </c>
      <c r="AI12" s="5" t="s">
        <v>309</v>
      </c>
      <c r="AJ12" s="5" t="s">
        <v>310</v>
      </c>
    </row>
    <row r="13" spans="1:36" ht="28.5">
      <c r="A13" s="5" t="s">
        <v>135</v>
      </c>
      <c r="B13" s="5" t="s">
        <v>49</v>
      </c>
      <c r="C13" s="5" t="s">
        <v>18</v>
      </c>
      <c r="D13" s="5" t="s">
        <v>311</v>
      </c>
      <c r="E13" s="5" t="s">
        <v>312</v>
      </c>
      <c r="F13" s="5" t="s">
        <v>114</v>
      </c>
      <c r="G13" s="5" t="s">
        <v>115</v>
      </c>
      <c r="H13" s="5" t="s">
        <v>116</v>
      </c>
      <c r="I13" s="5" t="s">
        <v>313</v>
      </c>
      <c r="J13" s="5" t="s">
        <v>314</v>
      </c>
      <c r="K13" s="5" t="s">
        <v>315</v>
      </c>
      <c r="L13" s="5" t="s">
        <v>316</v>
      </c>
      <c r="M13" s="5" t="s">
        <v>317</v>
      </c>
      <c r="N13" s="5" t="s">
        <v>318</v>
      </c>
      <c r="O13" s="5" t="s">
        <v>319</v>
      </c>
      <c r="P13" s="5" t="s">
        <v>320</v>
      </c>
      <c r="Q13" s="5" t="s">
        <v>321</v>
      </c>
      <c r="R13" s="5" t="s">
        <v>322</v>
      </c>
      <c r="S13" s="5" t="s">
        <v>323</v>
      </c>
      <c r="T13" s="5" t="s">
        <v>324</v>
      </c>
      <c r="U13" s="5" t="s">
        <v>325</v>
      </c>
      <c r="V13" s="5" t="s">
        <v>174</v>
      </c>
      <c r="W13" s="6">
        <v>985.58</v>
      </c>
      <c r="X13" s="5" t="s">
        <v>152</v>
      </c>
      <c r="Y13" s="7">
        <v>5</v>
      </c>
      <c r="Z13" s="7">
        <v>1</v>
      </c>
      <c r="AA13" s="7">
        <v>3</v>
      </c>
      <c r="AB13" s="7">
        <v>3</v>
      </c>
      <c r="AC13" s="7">
        <v>5</v>
      </c>
      <c r="AD13" s="7">
        <v>5</v>
      </c>
      <c r="AE13" s="7">
        <v>5</v>
      </c>
      <c r="AF13" s="7">
        <f>ROUND((Y13*Summary!$B$5+Z13*Summary!$B$6+AA13*Summary!$B$7+AB13*Summary!$B$8+AC13*Summary!$B$9+AD13*Summary!$B$10+AE13*Summary!$B$11)*20,0)</f>
        <v>70</v>
      </c>
      <c r="AG13" s="5" t="str">
        <f t="shared" si="0"/>
        <v>Viable</v>
      </c>
      <c r="AH13" s="5" t="s">
        <v>326</v>
      </c>
      <c r="AI13" s="5" t="s">
        <v>327</v>
      </c>
      <c r="AJ13" s="5" t="s">
        <v>328</v>
      </c>
    </row>
    <row r="14" spans="1:36" ht="28.5">
      <c r="A14" s="5" t="s">
        <v>135</v>
      </c>
      <c r="B14" s="5" t="s">
        <v>329</v>
      </c>
      <c r="C14" s="5" t="s">
        <v>330</v>
      </c>
      <c r="D14" s="5" t="s">
        <v>331</v>
      </c>
      <c r="E14" s="5" t="s">
        <v>332</v>
      </c>
      <c r="F14" s="5" t="s">
        <v>333</v>
      </c>
      <c r="G14" s="5" t="s">
        <v>334</v>
      </c>
      <c r="H14" s="5" t="s">
        <v>335</v>
      </c>
      <c r="I14" s="5" t="s">
        <v>336</v>
      </c>
      <c r="J14" s="5" t="s">
        <v>337</v>
      </c>
      <c r="K14" s="5" t="s">
        <v>338</v>
      </c>
      <c r="L14" s="5" t="s">
        <v>339</v>
      </c>
      <c r="M14" s="5" t="s">
        <v>340</v>
      </c>
      <c r="N14" s="5" t="s">
        <v>341</v>
      </c>
      <c r="O14" s="5" t="s">
        <v>342</v>
      </c>
      <c r="P14" s="5" t="s">
        <v>343</v>
      </c>
      <c r="Q14" s="5" t="s">
        <v>344</v>
      </c>
      <c r="R14" s="5" t="s">
        <v>345</v>
      </c>
      <c r="S14" s="5" t="s">
        <v>346</v>
      </c>
      <c r="T14" s="5" t="s">
        <v>347</v>
      </c>
      <c r="U14" s="5" t="s">
        <v>348</v>
      </c>
      <c r="V14" s="5" t="s">
        <v>349</v>
      </c>
      <c r="W14" s="6">
        <v>374.49</v>
      </c>
      <c r="X14" s="5" t="s">
        <v>152</v>
      </c>
      <c r="Y14" s="7">
        <v>4</v>
      </c>
      <c r="Z14" s="7">
        <v>1</v>
      </c>
      <c r="AA14" s="7">
        <v>2</v>
      </c>
      <c r="AB14" s="7">
        <v>4</v>
      </c>
      <c r="AC14" s="7">
        <v>5</v>
      </c>
      <c r="AD14" s="7">
        <v>4</v>
      </c>
      <c r="AE14" s="7">
        <v>5</v>
      </c>
      <c r="AF14" s="7">
        <f>ROUND((Y14*Summary!$B$5+Z14*Summary!$B$6+AA14*Summary!$B$7+AB14*Summary!$B$8+AC14*Summary!$B$9+AD14*Summary!$B$10+AE14*Summary!$B$11)*20,0)</f>
        <v>63</v>
      </c>
      <c r="AG14" s="5" t="str">
        <f t="shared" si="0"/>
        <v>Secondary</v>
      </c>
      <c r="AH14" s="5" t="s">
        <v>350</v>
      </c>
      <c r="AI14" s="5" t="s">
        <v>351</v>
      </c>
      <c r="AJ14" s="5" t="s">
        <v>352</v>
      </c>
    </row>
    <row r="15" spans="1:36" ht="28.5">
      <c r="A15" s="5" t="s">
        <v>111</v>
      </c>
      <c r="B15" s="5" t="s">
        <v>353</v>
      </c>
      <c r="C15" s="5" t="s">
        <v>330</v>
      </c>
      <c r="D15" s="5" t="s">
        <v>354</v>
      </c>
      <c r="E15" s="5" t="s">
        <v>355</v>
      </c>
      <c r="F15" s="5" t="s">
        <v>356</v>
      </c>
      <c r="G15" s="5" t="s">
        <v>334</v>
      </c>
      <c r="H15" s="5" t="s">
        <v>357</v>
      </c>
      <c r="I15" s="5" t="s">
        <v>184</v>
      </c>
      <c r="J15" s="5" t="s">
        <v>358</v>
      </c>
      <c r="K15" s="5" t="s">
        <v>359</v>
      </c>
      <c r="L15" s="5" t="s">
        <v>360</v>
      </c>
      <c r="M15" s="5" t="s">
        <v>361</v>
      </c>
      <c r="N15" s="5" t="s">
        <v>280</v>
      </c>
      <c r="O15" s="5" t="s">
        <v>362</v>
      </c>
      <c r="P15" s="5" t="s">
        <v>363</v>
      </c>
      <c r="Q15" s="5" t="s">
        <v>192</v>
      </c>
      <c r="R15" s="5" t="s">
        <v>364</v>
      </c>
      <c r="S15" s="5" t="s">
        <v>365</v>
      </c>
      <c r="T15" s="5" t="s">
        <v>366</v>
      </c>
      <c r="U15" s="5" t="s">
        <v>196</v>
      </c>
      <c r="V15" s="5" t="s">
        <v>367</v>
      </c>
      <c r="W15" s="6"/>
      <c r="X15" s="5" t="s">
        <v>131</v>
      </c>
      <c r="Y15" s="7">
        <v>5</v>
      </c>
      <c r="Z15" s="7">
        <v>1</v>
      </c>
      <c r="AA15" s="7">
        <v>2</v>
      </c>
      <c r="AB15" s="7">
        <v>3</v>
      </c>
      <c r="AC15" s="7">
        <v>4</v>
      </c>
      <c r="AD15" s="7">
        <v>4</v>
      </c>
      <c r="AE15" s="7">
        <v>5</v>
      </c>
      <c r="AF15" s="7">
        <f>ROUND((Y15*Summary!$B$5+Z15*Summary!$B$6+AA15*Summary!$B$7+AB15*Summary!$B$8+AC15*Summary!$B$9+AD15*Summary!$B$10+AE15*Summary!$B$11)*20,0)</f>
        <v>62</v>
      </c>
      <c r="AG15" s="5" t="str">
        <f t="shared" si="0"/>
        <v>Secondary</v>
      </c>
      <c r="AH15" s="5" t="s">
        <v>368</v>
      </c>
      <c r="AI15" s="5" t="s">
        <v>369</v>
      </c>
      <c r="AJ15" s="5" t="s">
        <v>370</v>
      </c>
    </row>
    <row r="16" spans="1:36" ht="28.5">
      <c r="A16" s="5" t="s">
        <v>371</v>
      </c>
      <c r="B16" s="5" t="s">
        <v>372</v>
      </c>
      <c r="C16" s="5" t="s">
        <v>330</v>
      </c>
      <c r="D16" s="5" t="s">
        <v>373</v>
      </c>
      <c r="E16" s="5" t="s">
        <v>374</v>
      </c>
      <c r="F16" s="5" t="s">
        <v>375</v>
      </c>
      <c r="G16" s="5" t="s">
        <v>334</v>
      </c>
      <c r="H16" s="5" t="s">
        <v>357</v>
      </c>
      <c r="I16" s="5" t="s">
        <v>184</v>
      </c>
      <c r="J16" s="5" t="s">
        <v>376</v>
      </c>
      <c r="K16" s="5" t="s">
        <v>377</v>
      </c>
      <c r="L16" s="5" t="s">
        <v>378</v>
      </c>
      <c r="M16" s="5" t="s">
        <v>379</v>
      </c>
      <c r="N16" s="5" t="s">
        <v>280</v>
      </c>
      <c r="O16" s="5" t="s">
        <v>380</v>
      </c>
      <c r="P16" s="5" t="s">
        <v>381</v>
      </c>
      <c r="Q16" s="5" t="s">
        <v>382</v>
      </c>
      <c r="R16" s="5" t="s">
        <v>383</v>
      </c>
      <c r="S16" s="5" t="s">
        <v>384</v>
      </c>
      <c r="T16" s="5" t="s">
        <v>385</v>
      </c>
      <c r="U16" s="5" t="s">
        <v>374</v>
      </c>
      <c r="V16" s="5" t="s">
        <v>386</v>
      </c>
      <c r="W16" s="6"/>
      <c r="X16" s="5" t="s">
        <v>387</v>
      </c>
      <c r="Y16" s="7">
        <v>4</v>
      </c>
      <c r="Z16" s="7">
        <v>1</v>
      </c>
      <c r="AA16" s="7">
        <v>5</v>
      </c>
      <c r="AB16" s="7">
        <v>5</v>
      </c>
      <c r="AC16" s="7">
        <v>3</v>
      </c>
      <c r="AD16" s="7">
        <v>4</v>
      </c>
      <c r="AE16" s="7">
        <v>5</v>
      </c>
      <c r="AF16" s="7">
        <f>ROUND((Y16*Summary!$B$5+Z16*Summary!$B$6+AA16*Summary!$B$7+AB16*Summary!$B$8+AC16*Summary!$B$9+AD16*Summary!$B$10+AE16*Summary!$B$11)*20,0)</f>
        <v>74</v>
      </c>
      <c r="AG16" s="5" t="str">
        <f t="shared" si="0"/>
        <v>Viable</v>
      </c>
      <c r="AH16" s="5" t="s">
        <v>388</v>
      </c>
      <c r="AI16" s="5" t="s">
        <v>389</v>
      </c>
      <c r="AJ16" s="5" t="s">
        <v>390</v>
      </c>
    </row>
    <row r="17" spans="1:36" ht="42.75">
      <c r="A17" s="5" t="s">
        <v>391</v>
      </c>
      <c r="B17" s="5" t="s">
        <v>392</v>
      </c>
      <c r="C17" s="5" t="s">
        <v>330</v>
      </c>
      <c r="D17" s="5" t="s">
        <v>354</v>
      </c>
      <c r="E17" s="5" t="s">
        <v>393</v>
      </c>
      <c r="F17" s="5" t="s">
        <v>356</v>
      </c>
      <c r="G17" s="5" t="s">
        <v>334</v>
      </c>
      <c r="H17" s="5" t="s">
        <v>357</v>
      </c>
      <c r="I17" s="5" t="s">
        <v>394</v>
      </c>
      <c r="J17" s="5" t="s">
        <v>394</v>
      </c>
      <c r="K17" s="5" t="s">
        <v>395</v>
      </c>
      <c r="L17" s="5" t="s">
        <v>396</v>
      </c>
      <c r="M17" s="5" t="s">
        <v>397</v>
      </c>
      <c r="N17" s="5" t="s">
        <v>398</v>
      </c>
      <c r="O17" s="5" t="s">
        <v>399</v>
      </c>
      <c r="P17" s="5" t="s">
        <v>400</v>
      </c>
      <c r="Q17" s="5" t="s">
        <v>301</v>
      </c>
      <c r="R17" s="5" t="s">
        <v>401</v>
      </c>
      <c r="S17" s="5" t="s">
        <v>402</v>
      </c>
      <c r="T17" s="5" t="s">
        <v>403</v>
      </c>
      <c r="U17" s="5" t="s">
        <v>404</v>
      </c>
      <c r="V17" s="5" t="s">
        <v>156</v>
      </c>
      <c r="W17" s="6"/>
      <c r="X17" s="5" t="s">
        <v>405</v>
      </c>
      <c r="Y17" s="7">
        <v>4</v>
      </c>
      <c r="Z17" s="7">
        <v>1</v>
      </c>
      <c r="AA17" s="7">
        <v>2</v>
      </c>
      <c r="AB17" s="7">
        <v>4</v>
      </c>
      <c r="AC17" s="7">
        <v>3</v>
      </c>
      <c r="AD17" s="7">
        <v>4</v>
      </c>
      <c r="AE17" s="7">
        <v>5</v>
      </c>
      <c r="AF17" s="7">
        <f>ROUND((Y17*Summary!$B$5+Z17*Summary!$B$6+AA17*Summary!$B$7+AB17*Summary!$B$8+AC17*Summary!$B$9+AD17*Summary!$B$10+AE17*Summary!$B$11)*20,0)</f>
        <v>59</v>
      </c>
      <c r="AG17" s="5" t="str">
        <f t="shared" si="0"/>
        <v>Secondary</v>
      </c>
      <c r="AH17" s="5" t="s">
        <v>406</v>
      </c>
      <c r="AI17" s="5" t="s">
        <v>407</v>
      </c>
      <c r="AJ17" s="5" t="s">
        <v>370</v>
      </c>
    </row>
    <row r="18" spans="1:36" ht="42.75">
      <c r="A18" s="5" t="s">
        <v>408</v>
      </c>
      <c r="B18" s="5" t="s">
        <v>409</v>
      </c>
      <c r="C18" s="5" t="s">
        <v>410</v>
      </c>
      <c r="D18" s="5" t="s">
        <v>411</v>
      </c>
      <c r="E18" s="5" t="s">
        <v>412</v>
      </c>
      <c r="F18" s="5" t="s">
        <v>413</v>
      </c>
      <c r="G18" s="5" t="s">
        <v>414</v>
      </c>
      <c r="H18" s="5" t="s">
        <v>415</v>
      </c>
      <c r="I18" s="5" t="s">
        <v>416</v>
      </c>
      <c r="J18" s="5" t="s">
        <v>417</v>
      </c>
      <c r="K18" s="5" t="s">
        <v>418</v>
      </c>
      <c r="L18" s="5" t="s">
        <v>419</v>
      </c>
      <c r="M18" s="5" t="s">
        <v>420</v>
      </c>
      <c r="N18" s="5" t="s">
        <v>421</v>
      </c>
      <c r="O18" s="5" t="s">
        <v>422</v>
      </c>
      <c r="P18" s="5" t="s">
        <v>423</v>
      </c>
      <c r="Q18" s="5" t="s">
        <v>424</v>
      </c>
      <c r="R18" s="5" t="s">
        <v>425</v>
      </c>
      <c r="S18" s="5" t="s">
        <v>426</v>
      </c>
      <c r="T18" s="5" t="s">
        <v>427</v>
      </c>
      <c r="U18" s="5" t="s">
        <v>428</v>
      </c>
      <c r="V18" s="5" t="s">
        <v>429</v>
      </c>
      <c r="W18" s="6"/>
      <c r="X18" s="5" t="s">
        <v>430</v>
      </c>
      <c r="Y18" s="7">
        <v>5</v>
      </c>
      <c r="Z18" s="7">
        <v>5</v>
      </c>
      <c r="AA18" s="7">
        <v>5</v>
      </c>
      <c r="AB18" s="7">
        <v>2</v>
      </c>
      <c r="AC18" s="7">
        <v>5</v>
      </c>
      <c r="AD18" s="7">
        <v>5</v>
      </c>
      <c r="AE18" s="7">
        <v>5</v>
      </c>
      <c r="AF18" s="7">
        <f>ROUND((Y18*Summary!$B$5+Z18*Summary!$B$6+AA18*Summary!$B$7+AB18*Summary!$B$8+AC18*Summary!$B$9+AD18*Summary!$B$10+AE18*Summary!$B$11)*20,0)</f>
        <v>91</v>
      </c>
      <c r="AG18" s="5" t="str">
        <f t="shared" si="0"/>
        <v>Strong shortlist</v>
      </c>
      <c r="AH18" s="5" t="s">
        <v>431</v>
      </c>
      <c r="AI18" s="5" t="s">
        <v>432</v>
      </c>
      <c r="AJ18" s="5" t="s">
        <v>433</v>
      </c>
    </row>
    <row r="19" spans="1:36" ht="42.75">
      <c r="A19" s="5" t="s">
        <v>135</v>
      </c>
      <c r="B19" s="5" t="s">
        <v>434</v>
      </c>
      <c r="C19" s="5" t="s">
        <v>435</v>
      </c>
      <c r="D19" s="5" t="s">
        <v>156</v>
      </c>
      <c r="E19" s="5" t="s">
        <v>436</v>
      </c>
      <c r="F19" s="5" t="s">
        <v>437</v>
      </c>
      <c r="G19" s="5" t="s">
        <v>414</v>
      </c>
      <c r="H19" s="5" t="s">
        <v>438</v>
      </c>
      <c r="I19" s="5" t="s">
        <v>439</v>
      </c>
      <c r="J19" s="5" t="s">
        <v>440</v>
      </c>
      <c r="K19" s="5" t="s">
        <v>441</v>
      </c>
      <c r="L19" s="5" t="s">
        <v>442</v>
      </c>
      <c r="M19" s="5" t="s">
        <v>443</v>
      </c>
      <c r="N19" s="5" t="s">
        <v>444</v>
      </c>
      <c r="O19" s="5" t="s">
        <v>445</v>
      </c>
      <c r="P19" s="5" t="s">
        <v>423</v>
      </c>
      <c r="Q19" s="5" t="s">
        <v>446</v>
      </c>
      <c r="R19" s="5" t="s">
        <v>447</v>
      </c>
      <c r="S19" s="5" t="s">
        <v>448</v>
      </c>
      <c r="T19" s="5" t="s">
        <v>449</v>
      </c>
      <c r="U19" s="5" t="s">
        <v>450</v>
      </c>
      <c r="V19" s="5" t="s">
        <v>451</v>
      </c>
      <c r="W19" s="6">
        <v>886.09</v>
      </c>
      <c r="X19" s="5" t="s">
        <v>152</v>
      </c>
      <c r="Y19" s="7">
        <v>5</v>
      </c>
      <c r="Z19" s="7">
        <v>5</v>
      </c>
      <c r="AA19" s="7">
        <v>4</v>
      </c>
      <c r="AB19" s="7">
        <v>3</v>
      </c>
      <c r="AC19" s="7">
        <v>5</v>
      </c>
      <c r="AD19" s="7">
        <v>5</v>
      </c>
      <c r="AE19" s="7">
        <v>5</v>
      </c>
      <c r="AF19" s="7">
        <f>ROUND((Y19*Summary!$B$5+Z19*Summary!$B$6+AA19*Summary!$B$7+AB19*Summary!$B$8+AC19*Summary!$B$9+AD19*Summary!$B$10+AE19*Summary!$B$11)*20,0)</f>
        <v>90</v>
      </c>
      <c r="AG19" s="5" t="str">
        <f t="shared" si="0"/>
        <v>Strong shortlist</v>
      </c>
      <c r="AH19" s="5" t="s">
        <v>452</v>
      </c>
      <c r="AI19" s="5" t="s">
        <v>453</v>
      </c>
      <c r="AJ19" s="5" t="s">
        <v>454</v>
      </c>
    </row>
    <row r="20" spans="1:36" ht="57">
      <c r="A20" s="5" t="s">
        <v>455</v>
      </c>
      <c r="B20" s="5" t="s">
        <v>456</v>
      </c>
      <c r="C20" s="5" t="s">
        <v>435</v>
      </c>
      <c r="D20" s="5" t="s">
        <v>457</v>
      </c>
      <c r="E20" s="5" t="s">
        <v>458</v>
      </c>
      <c r="F20" s="5" t="s">
        <v>437</v>
      </c>
      <c r="G20" s="5" t="s">
        <v>414</v>
      </c>
      <c r="H20" s="5" t="s">
        <v>459</v>
      </c>
      <c r="I20" s="5" t="s">
        <v>460</v>
      </c>
      <c r="J20" s="5" t="s">
        <v>461</v>
      </c>
      <c r="K20" s="5" t="s">
        <v>462</v>
      </c>
      <c r="L20" s="5" t="s">
        <v>463</v>
      </c>
      <c r="M20" s="5" t="s">
        <v>464</v>
      </c>
      <c r="N20" s="5" t="s">
        <v>465</v>
      </c>
      <c r="O20" s="5" t="s">
        <v>466</v>
      </c>
      <c r="P20" s="5" t="s">
        <v>467</v>
      </c>
      <c r="Q20" s="5" t="s">
        <v>468</v>
      </c>
      <c r="R20" s="5" t="s">
        <v>469</v>
      </c>
      <c r="S20" s="5" t="s">
        <v>470</v>
      </c>
      <c r="T20" s="5" t="s">
        <v>471</v>
      </c>
      <c r="U20" s="5" t="s">
        <v>472</v>
      </c>
      <c r="V20" s="5" t="s">
        <v>473</v>
      </c>
      <c r="W20" s="6"/>
      <c r="X20" s="5" t="s">
        <v>474</v>
      </c>
      <c r="Y20" s="7">
        <v>5</v>
      </c>
      <c r="Z20" s="7">
        <v>5</v>
      </c>
      <c r="AA20" s="7">
        <v>5</v>
      </c>
      <c r="AB20" s="7">
        <v>5</v>
      </c>
      <c r="AC20" s="7">
        <v>5</v>
      </c>
      <c r="AD20" s="7">
        <v>5</v>
      </c>
      <c r="AE20" s="7">
        <v>5</v>
      </c>
      <c r="AF20" s="7">
        <f>ROUND((Y20*Summary!$B$5+Z20*Summary!$B$6+AA20*Summary!$B$7+AB20*Summary!$B$8+AC20*Summary!$B$9+AD20*Summary!$B$10+AE20*Summary!$B$11)*20,0)</f>
        <v>100</v>
      </c>
      <c r="AG20" s="5" t="str">
        <f t="shared" si="0"/>
        <v>Strong shortlist</v>
      </c>
      <c r="AH20" s="5" t="s">
        <v>475</v>
      </c>
      <c r="AI20" s="13" t="s">
        <v>476</v>
      </c>
      <c r="AJ20" s="5" t="s">
        <v>477</v>
      </c>
    </row>
    <row r="21" spans="1:36" ht="42.75">
      <c r="A21" s="5" t="s">
        <v>478</v>
      </c>
      <c r="B21" s="5" t="s">
        <v>479</v>
      </c>
      <c r="C21" s="5" t="s">
        <v>435</v>
      </c>
      <c r="D21" s="5" t="s">
        <v>480</v>
      </c>
      <c r="E21" s="5" t="s">
        <v>481</v>
      </c>
      <c r="F21" s="5" t="s">
        <v>482</v>
      </c>
      <c r="G21" s="5" t="s">
        <v>483</v>
      </c>
      <c r="H21" s="5" t="s">
        <v>415</v>
      </c>
      <c r="I21" s="5" t="s">
        <v>484</v>
      </c>
      <c r="J21" s="5" t="s">
        <v>485</v>
      </c>
      <c r="K21" s="5" t="s">
        <v>486</v>
      </c>
      <c r="L21" s="5" t="s">
        <v>487</v>
      </c>
      <c r="M21" s="5" t="s">
        <v>464</v>
      </c>
      <c r="N21" s="5" t="s">
        <v>488</v>
      </c>
      <c r="O21" s="5" t="s">
        <v>489</v>
      </c>
      <c r="P21" s="5" t="s">
        <v>490</v>
      </c>
      <c r="Q21" s="5" t="s">
        <v>491</v>
      </c>
      <c r="R21" s="5" t="s">
        <v>492</v>
      </c>
      <c r="S21" s="5" t="s">
        <v>493</v>
      </c>
      <c r="T21" s="5" t="s">
        <v>494</v>
      </c>
      <c r="U21" s="5" t="s">
        <v>495</v>
      </c>
      <c r="V21" s="5" t="s">
        <v>496</v>
      </c>
      <c r="W21" s="6"/>
      <c r="X21" s="5" t="s">
        <v>497</v>
      </c>
      <c r="Y21" s="7">
        <v>5</v>
      </c>
      <c r="Z21" s="7">
        <v>5</v>
      </c>
      <c r="AA21" s="7">
        <v>4</v>
      </c>
      <c r="AB21" s="7">
        <v>5</v>
      </c>
      <c r="AC21" s="7">
        <v>5</v>
      </c>
      <c r="AD21" s="7">
        <v>5</v>
      </c>
      <c r="AE21" s="7">
        <v>5</v>
      </c>
      <c r="AF21" s="7">
        <f>ROUND((Y21*Summary!$B$5+Z21*Summary!$B$6+AA21*Summary!$B$7+AB21*Summary!$B$8+AC21*Summary!$B$9+AD21*Summary!$B$10+AE21*Summary!$B$11)*20,0)</f>
        <v>96</v>
      </c>
      <c r="AG21" s="5" t="str">
        <f t="shared" si="0"/>
        <v>Strong shortlist</v>
      </c>
      <c r="AH21" s="5" t="s">
        <v>498</v>
      </c>
      <c r="AI21" s="5" t="s">
        <v>499</v>
      </c>
      <c r="AJ21" s="5" t="s">
        <v>500</v>
      </c>
    </row>
    <row r="22" spans="1:36" ht="28.5">
      <c r="A22" s="5" t="s">
        <v>501</v>
      </c>
      <c r="B22" s="5" t="s">
        <v>502</v>
      </c>
      <c r="C22" s="5" t="s">
        <v>435</v>
      </c>
      <c r="D22" s="5" t="s">
        <v>503</v>
      </c>
      <c r="E22" s="5" t="s">
        <v>503</v>
      </c>
      <c r="F22" s="5" t="s">
        <v>437</v>
      </c>
      <c r="G22" s="5" t="s">
        <v>414</v>
      </c>
      <c r="H22" s="5" t="s">
        <v>504</v>
      </c>
      <c r="I22" s="5" t="s">
        <v>505</v>
      </c>
      <c r="J22" s="5" t="s">
        <v>358</v>
      </c>
      <c r="K22" s="5" t="s">
        <v>506</v>
      </c>
      <c r="L22" s="5" t="s">
        <v>507</v>
      </c>
      <c r="M22" s="5" t="s">
        <v>464</v>
      </c>
      <c r="N22" s="5" t="s">
        <v>508</v>
      </c>
      <c r="O22" s="5" t="s">
        <v>509</v>
      </c>
      <c r="P22" s="5" t="s">
        <v>510</v>
      </c>
      <c r="Q22" s="5" t="s">
        <v>511</v>
      </c>
      <c r="R22" s="5" t="s">
        <v>512</v>
      </c>
      <c r="S22" s="5" t="s">
        <v>513</v>
      </c>
      <c r="T22" s="5" t="s">
        <v>514</v>
      </c>
      <c r="U22" s="5" t="s">
        <v>515</v>
      </c>
      <c r="V22" s="5" t="s">
        <v>516</v>
      </c>
      <c r="W22" s="6"/>
      <c r="X22" s="5" t="s">
        <v>517</v>
      </c>
      <c r="Y22" s="7">
        <v>5</v>
      </c>
      <c r="Z22" s="7">
        <v>5</v>
      </c>
      <c r="AA22" s="7">
        <v>4</v>
      </c>
      <c r="AB22" s="7">
        <v>5</v>
      </c>
      <c r="AC22" s="7">
        <v>5</v>
      </c>
      <c r="AD22" s="7">
        <v>5</v>
      </c>
      <c r="AE22" s="7">
        <v>4</v>
      </c>
      <c r="AF22" s="7">
        <f>ROUND((Y22*Summary!$B$5+Z22*Summary!$B$6+AA22*Summary!$B$7+AB22*Summary!$B$8+AC22*Summary!$B$9+AD22*Summary!$B$10+AE22*Summary!$B$11)*20,0)</f>
        <v>95</v>
      </c>
      <c r="AG22" s="5" t="str">
        <f t="shared" si="0"/>
        <v>Strong shortlist</v>
      </c>
      <c r="AH22" s="5" t="s">
        <v>518</v>
      </c>
      <c r="AI22" s="5" t="s">
        <v>432</v>
      </c>
      <c r="AJ22" s="5" t="s">
        <v>519</v>
      </c>
    </row>
  </sheetData>
  <conditionalFormatting sqref="Y2:AE22">
    <cfRule type="colorScale" priority="2">
      <colorScale>
        <cfvo type="min"/>
        <cfvo type="percentile" val="50"/>
        <cfvo type="max"/>
        <color rgb="FFF8D7DA"/>
        <color rgb="FFFFF3CD"/>
        <color rgb="FFD4EDDA"/>
      </colorScale>
    </cfRule>
  </conditionalFormatting>
  <conditionalFormatting sqref="AF2:AF22">
    <cfRule type="colorScale" priority="1">
      <colorScale>
        <cfvo type="min"/>
        <cfvo type="percentile" val="50"/>
        <cfvo type="max"/>
        <color rgb="FFF8D7DA"/>
        <color rgb="FFFFF3CD"/>
        <color rgb="FFD4EDDA"/>
      </colorScale>
    </cfRule>
  </conditionalFormatting>
  <hyperlinks>
    <hyperlink ref="AI20" r:id="rId1" xr:uid="{BBA16E95-D156-4FAA-AEC4-27018AA8F7D4}"/>
    <hyperlink ref="AI2" r:id="rId2" xr:uid="{1ADA9D8C-BDDA-4C8A-984E-40AE89D1EB0E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/>
  </sheetViews>
  <sheetFormatPr defaultRowHeight="14.25"/>
  <cols>
    <col min="1" max="1" width="18" customWidth="1"/>
    <col min="2" max="2" width="30" customWidth="1"/>
    <col min="3" max="4" width="52" customWidth="1"/>
    <col min="5" max="5" width="14" customWidth="1"/>
    <col min="6" max="7" width="60" customWidth="1"/>
  </cols>
  <sheetData>
    <row r="1" spans="1:7" ht="36" customHeight="1">
      <c r="A1" s="8" t="s">
        <v>52</v>
      </c>
      <c r="B1" s="8" t="s">
        <v>53</v>
      </c>
      <c r="C1" s="8" t="s">
        <v>520</v>
      </c>
      <c r="D1" s="8" t="s">
        <v>521</v>
      </c>
      <c r="E1" s="8" t="s">
        <v>522</v>
      </c>
      <c r="F1" s="8" t="s">
        <v>523</v>
      </c>
      <c r="G1" s="8" t="s">
        <v>524</v>
      </c>
    </row>
    <row r="2" spans="1:7" ht="42.75">
      <c r="A2" s="5" t="s">
        <v>87</v>
      </c>
      <c r="B2" s="5" t="s">
        <v>38</v>
      </c>
      <c r="C2" s="5" t="s">
        <v>109</v>
      </c>
      <c r="D2" s="5" t="s">
        <v>110</v>
      </c>
      <c r="E2" s="5" t="s">
        <v>525</v>
      </c>
      <c r="F2" s="5" t="s">
        <v>526</v>
      </c>
      <c r="G2" s="5" t="s">
        <v>108</v>
      </c>
    </row>
    <row r="3" spans="1:7" ht="42.75">
      <c r="A3" s="5" t="s">
        <v>111</v>
      </c>
      <c r="B3" s="5" t="s">
        <v>39</v>
      </c>
      <c r="C3" s="5" t="s">
        <v>133</v>
      </c>
      <c r="D3" s="5" t="s">
        <v>134</v>
      </c>
      <c r="E3" s="5" t="s">
        <v>525</v>
      </c>
      <c r="F3" s="5" t="s">
        <v>526</v>
      </c>
      <c r="G3" s="5" t="s">
        <v>132</v>
      </c>
    </row>
    <row r="4" spans="1:7" ht="42.75">
      <c r="A4" s="5" t="s">
        <v>135</v>
      </c>
      <c r="B4" s="5" t="s">
        <v>40</v>
      </c>
      <c r="C4" s="5" t="s">
        <v>154</v>
      </c>
      <c r="D4" s="5" t="s">
        <v>155</v>
      </c>
      <c r="E4" s="5" t="s">
        <v>525</v>
      </c>
      <c r="F4" s="5" t="s">
        <v>526</v>
      </c>
      <c r="G4" s="5" t="s">
        <v>153</v>
      </c>
    </row>
    <row r="5" spans="1:7" ht="42.75">
      <c r="A5" s="5" t="s">
        <v>135</v>
      </c>
      <c r="B5" s="5" t="s">
        <v>41</v>
      </c>
      <c r="C5" s="5" t="s">
        <v>176</v>
      </c>
      <c r="D5" s="5" t="s">
        <v>177</v>
      </c>
      <c r="E5" s="5" t="s">
        <v>525</v>
      </c>
      <c r="F5" s="5" t="s">
        <v>526</v>
      </c>
      <c r="G5" s="5" t="s">
        <v>175</v>
      </c>
    </row>
    <row r="6" spans="1:7" ht="42.75">
      <c r="A6" s="5" t="s">
        <v>178</v>
      </c>
      <c r="B6" s="5" t="s">
        <v>42</v>
      </c>
      <c r="C6" s="5" t="s">
        <v>199</v>
      </c>
      <c r="D6" s="5" t="s">
        <v>110</v>
      </c>
      <c r="E6" s="5" t="s">
        <v>525</v>
      </c>
      <c r="F6" s="5" t="s">
        <v>526</v>
      </c>
      <c r="G6" s="5" t="s">
        <v>198</v>
      </c>
    </row>
    <row r="7" spans="1:7" ht="42.75">
      <c r="A7" s="5" t="s">
        <v>200</v>
      </c>
      <c r="B7" s="5" t="s">
        <v>43</v>
      </c>
      <c r="C7" s="5" t="s">
        <v>219</v>
      </c>
      <c r="D7" s="5" t="s">
        <v>110</v>
      </c>
      <c r="E7" s="5" t="s">
        <v>525</v>
      </c>
      <c r="F7" s="5" t="s">
        <v>526</v>
      </c>
      <c r="G7" s="5" t="s">
        <v>218</v>
      </c>
    </row>
    <row r="8" spans="1:7" ht="42.75">
      <c r="A8" s="5" t="s">
        <v>135</v>
      </c>
      <c r="B8" s="5" t="s">
        <v>44</v>
      </c>
      <c r="C8" s="5" t="s">
        <v>236</v>
      </c>
      <c r="D8" s="5" t="s">
        <v>237</v>
      </c>
      <c r="E8" s="5" t="s">
        <v>525</v>
      </c>
      <c r="F8" s="5" t="s">
        <v>526</v>
      </c>
      <c r="G8" s="5" t="s">
        <v>235</v>
      </c>
    </row>
    <row r="9" spans="1:7" ht="42.75">
      <c r="A9" s="5" t="s">
        <v>238</v>
      </c>
      <c r="B9" s="5" t="s">
        <v>45</v>
      </c>
      <c r="C9" s="5" t="s">
        <v>255</v>
      </c>
      <c r="D9" s="5" t="s">
        <v>256</v>
      </c>
      <c r="E9" s="5" t="s">
        <v>525</v>
      </c>
      <c r="F9" s="5" t="s">
        <v>526</v>
      </c>
      <c r="G9" s="5" t="s">
        <v>254</v>
      </c>
    </row>
    <row r="10" spans="1:7" ht="42.75">
      <c r="A10" s="5" t="s">
        <v>238</v>
      </c>
      <c r="B10" s="5" t="s">
        <v>46</v>
      </c>
      <c r="C10" s="5" t="s">
        <v>270</v>
      </c>
      <c r="D10" s="5" t="s">
        <v>256</v>
      </c>
      <c r="E10" s="5" t="s">
        <v>525</v>
      </c>
      <c r="F10" s="5" t="s">
        <v>526</v>
      </c>
      <c r="G10" s="5" t="s">
        <v>269</v>
      </c>
    </row>
    <row r="11" spans="1:7" ht="42.75">
      <c r="A11" s="5" t="s">
        <v>111</v>
      </c>
      <c r="B11" s="5" t="s">
        <v>47</v>
      </c>
      <c r="C11" s="5" t="s">
        <v>288</v>
      </c>
      <c r="D11" s="5" t="s">
        <v>110</v>
      </c>
      <c r="E11" s="5" t="s">
        <v>525</v>
      </c>
      <c r="F11" s="5" t="s">
        <v>526</v>
      </c>
      <c r="G11" s="5" t="s">
        <v>287</v>
      </c>
    </row>
    <row r="12" spans="1:7" ht="42.75">
      <c r="A12" s="5" t="s">
        <v>289</v>
      </c>
      <c r="B12" s="5" t="s">
        <v>48</v>
      </c>
      <c r="C12" s="5" t="s">
        <v>309</v>
      </c>
      <c r="D12" s="5" t="s">
        <v>310</v>
      </c>
      <c r="E12" s="5" t="s">
        <v>525</v>
      </c>
      <c r="F12" s="5" t="s">
        <v>526</v>
      </c>
      <c r="G12" s="5" t="s">
        <v>308</v>
      </c>
    </row>
    <row r="13" spans="1:7" ht="42.75">
      <c r="A13" s="5" t="s">
        <v>135</v>
      </c>
      <c r="B13" s="5" t="s">
        <v>49</v>
      </c>
      <c r="C13" s="5" t="s">
        <v>327</v>
      </c>
      <c r="D13" s="5" t="s">
        <v>328</v>
      </c>
      <c r="E13" s="5" t="s">
        <v>525</v>
      </c>
      <c r="F13" s="5" t="s">
        <v>526</v>
      </c>
      <c r="G13" s="5" t="s">
        <v>326</v>
      </c>
    </row>
    <row r="14" spans="1:7" ht="42.75">
      <c r="A14" s="5" t="s">
        <v>135</v>
      </c>
      <c r="B14" s="5" t="s">
        <v>329</v>
      </c>
      <c r="C14" s="5" t="s">
        <v>351</v>
      </c>
      <c r="D14" s="5" t="s">
        <v>352</v>
      </c>
      <c r="E14" s="5" t="s">
        <v>525</v>
      </c>
      <c r="F14" s="5" t="s">
        <v>526</v>
      </c>
      <c r="G14" s="5" t="s">
        <v>350</v>
      </c>
    </row>
    <row r="15" spans="1:7" ht="42.75">
      <c r="A15" s="5" t="s">
        <v>111</v>
      </c>
      <c r="B15" s="5" t="s">
        <v>353</v>
      </c>
      <c r="C15" s="5" t="s">
        <v>369</v>
      </c>
      <c r="D15" s="5" t="s">
        <v>370</v>
      </c>
      <c r="E15" s="5" t="s">
        <v>525</v>
      </c>
      <c r="F15" s="5" t="s">
        <v>526</v>
      </c>
      <c r="G15" s="5" t="s">
        <v>368</v>
      </c>
    </row>
    <row r="16" spans="1:7" ht="42.75">
      <c r="A16" s="5" t="s">
        <v>371</v>
      </c>
      <c r="B16" s="5" t="s">
        <v>372</v>
      </c>
      <c r="C16" s="5" t="s">
        <v>389</v>
      </c>
      <c r="D16" s="5" t="s">
        <v>390</v>
      </c>
      <c r="E16" s="5" t="s">
        <v>525</v>
      </c>
      <c r="F16" s="5" t="s">
        <v>526</v>
      </c>
      <c r="G16" s="5" t="s">
        <v>388</v>
      </c>
    </row>
    <row r="17" spans="1:7" ht="42.75">
      <c r="A17" s="5" t="s">
        <v>391</v>
      </c>
      <c r="B17" s="5" t="s">
        <v>392</v>
      </c>
      <c r="C17" s="5" t="s">
        <v>407</v>
      </c>
      <c r="D17" s="5" t="s">
        <v>370</v>
      </c>
      <c r="E17" s="5" t="s">
        <v>525</v>
      </c>
      <c r="F17" s="5" t="s">
        <v>526</v>
      </c>
      <c r="G17" s="5" t="s">
        <v>406</v>
      </c>
    </row>
    <row r="18" spans="1:7" ht="42.75">
      <c r="A18" s="5" t="s">
        <v>408</v>
      </c>
      <c r="B18" s="5" t="s">
        <v>409</v>
      </c>
      <c r="C18" s="5" t="s">
        <v>432</v>
      </c>
      <c r="D18" s="5" t="s">
        <v>433</v>
      </c>
      <c r="E18" s="5" t="s">
        <v>525</v>
      </c>
      <c r="F18" s="5" t="s">
        <v>526</v>
      </c>
      <c r="G18" s="5" t="s">
        <v>431</v>
      </c>
    </row>
    <row r="19" spans="1:7" ht="42.75">
      <c r="A19" s="5" t="s">
        <v>135</v>
      </c>
      <c r="B19" s="5" t="s">
        <v>434</v>
      </c>
      <c r="C19" s="5" t="s">
        <v>453</v>
      </c>
      <c r="D19" s="5" t="s">
        <v>454</v>
      </c>
      <c r="E19" s="5" t="s">
        <v>525</v>
      </c>
      <c r="F19" s="5" t="s">
        <v>526</v>
      </c>
      <c r="G19" s="5" t="s">
        <v>452</v>
      </c>
    </row>
    <row r="20" spans="1:7" ht="42.75">
      <c r="A20" s="5" t="s">
        <v>455</v>
      </c>
      <c r="B20" s="5" t="s">
        <v>456</v>
      </c>
      <c r="C20" s="5" t="s">
        <v>476</v>
      </c>
      <c r="D20" s="5" t="s">
        <v>477</v>
      </c>
      <c r="E20" s="5" t="s">
        <v>525</v>
      </c>
      <c r="F20" s="5" t="s">
        <v>526</v>
      </c>
      <c r="G20" s="5" t="s">
        <v>475</v>
      </c>
    </row>
    <row r="21" spans="1:7" ht="42.75">
      <c r="A21" s="5" t="s">
        <v>478</v>
      </c>
      <c r="B21" s="5" t="s">
        <v>479</v>
      </c>
      <c r="C21" s="5" t="s">
        <v>499</v>
      </c>
      <c r="D21" s="5" t="s">
        <v>500</v>
      </c>
      <c r="E21" s="5" t="s">
        <v>525</v>
      </c>
      <c r="F21" s="5" t="s">
        <v>526</v>
      </c>
      <c r="G21" s="5" t="s">
        <v>498</v>
      </c>
    </row>
    <row r="22" spans="1:7" ht="42.75">
      <c r="A22" s="5" t="s">
        <v>501</v>
      </c>
      <c r="B22" s="5" t="s">
        <v>502</v>
      </c>
      <c r="C22" s="5" t="s">
        <v>432</v>
      </c>
      <c r="D22" s="5" t="s">
        <v>519</v>
      </c>
      <c r="E22" s="5" t="s">
        <v>525</v>
      </c>
      <c r="F22" s="5" t="s">
        <v>526</v>
      </c>
      <c r="G22" s="5" t="s">
        <v>518</v>
      </c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  <row r="25" spans="1:7">
      <c r="A25" s="5" t="s">
        <v>527</v>
      </c>
      <c r="B25" s="5"/>
      <c r="C25" s="5"/>
      <c r="D25" s="5"/>
      <c r="E25" s="5"/>
      <c r="F25" s="5"/>
      <c r="G25" s="5"/>
    </row>
    <row r="26" spans="1:7" ht="71.25">
      <c r="A26" s="5" t="s">
        <v>528</v>
      </c>
      <c r="B26" s="5" t="s">
        <v>529</v>
      </c>
      <c r="C26" s="5"/>
      <c r="D26" s="5"/>
      <c r="E26" s="5"/>
      <c r="F26" s="5"/>
      <c r="G26" s="5"/>
    </row>
    <row r="27" spans="1:7" ht="85.5">
      <c r="A27" s="5" t="s">
        <v>530</v>
      </c>
      <c r="B27" s="5" t="s">
        <v>531</v>
      </c>
      <c r="C27" s="5"/>
      <c r="D27" s="5"/>
      <c r="E27" s="5"/>
      <c r="F27" s="5"/>
      <c r="G27" s="5"/>
    </row>
    <row r="28" spans="1:7" ht="71.25">
      <c r="A28" s="5" t="s">
        <v>532</v>
      </c>
      <c r="B28" s="5" t="s">
        <v>533</v>
      </c>
      <c r="C28" s="5"/>
      <c r="D28" s="5"/>
      <c r="E28" s="5"/>
      <c r="F28" s="5"/>
      <c r="G28" s="5"/>
    </row>
    <row r="29" spans="1:7" ht="71.25">
      <c r="A29" s="5" t="s">
        <v>534</v>
      </c>
      <c r="B29" s="5" t="s">
        <v>535</v>
      </c>
      <c r="C29" s="5"/>
      <c r="D29" s="5"/>
      <c r="E29" s="5"/>
      <c r="F29" s="5"/>
      <c r="G2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SOM Candidates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Byers</cp:lastModifiedBy>
  <dcterms:modified xsi:type="dcterms:W3CDTF">2026-09-11T17:38:12Z</dcterms:modified>
</cp:coreProperties>
</file>