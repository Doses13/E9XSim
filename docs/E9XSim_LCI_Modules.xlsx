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c77b291784f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s" sheetId="1" r:id="Rc2e28a6970184dcb"/>
    <x:sheet xmlns:r="http://schemas.openxmlformats.org/officeDocument/2006/relationships" name="Summary" sheetId="2" r:id="R92be570f8cc2478a"/>
    <x:sheet xmlns:r="http://schemas.openxmlformats.org/officeDocument/2006/relationships" name="Lookups" sheetId="3" r:id="Rf20e3e90490546df"/>
    <x:sheet xmlns:r="http://schemas.openxmlformats.org/officeDocument/2006/relationships" name="Sources" sheetId="4" r:id="R6c5b072e57264811"/>
    <x:sheet xmlns:r="http://schemas.openxmlformats.org/officeDocument/2006/relationships" name="README" sheetId="5" r:id="R38bfd665bf9b40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3F6F8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686ebf988d434d" /><Relationship Type="http://schemas.openxmlformats.org/officeDocument/2006/relationships/theme" Target="/xl/theme/theme1.xml" Id="R1cf2be4b45fc4298" /><Relationship Type="http://schemas.openxmlformats.org/officeDocument/2006/relationships/sharedStrings" Target="/xl/sharedStrings.xml" Id="R6f96ba9d54b9445f" /><Relationship Type="http://schemas.openxmlformats.org/officeDocument/2006/relationships/worksheet" Target="/xl/worksheets/sheet1.xml" Id="Rc2e28a6970184dcb" /><Relationship Type="http://schemas.openxmlformats.org/officeDocument/2006/relationships/worksheet" Target="/xl/worksheets/sheet2.xml" Id="R92be570f8cc2478a" /><Relationship Type="http://schemas.openxmlformats.org/officeDocument/2006/relationships/worksheet" Target="/xl/worksheets/sheet3.xml" Id="Rf20e3e90490546df" /><Relationship Type="http://schemas.openxmlformats.org/officeDocument/2006/relationships/worksheet" Target="/xl/worksheets/sheet4.xml" Id="R6c5b072e57264811" /><Relationship Type="http://schemas.openxmlformats.org/officeDocument/2006/relationships/worksheet" Target="/xl/worksheets/sheet5.xml" Id="R38bfd665bf9b40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2fa7beb4a74bf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Modules / Nodes by System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'Summary'!$D$4:$D$45</c:f>
              <c:strCache>
                <c:ptCount val="0"/>
              </c:strCache>
            </c:strRef>
          </c:cat>
          <c:val>
            <c:numRef>
              <c:f>'Summary'!$E$4:$E$45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2fa7beb4a74bf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dulesTable" displayName="ModulesTable" ref="A1:Y73" headerRowCount="1" totalsRowCount="0" totalsRowShown="0">
  <x:tableColumns count="25">
    <x:tableColumn id="1" name="Module ID"/>
    <x:tableColumn id="2" name="BMW Acronym"/>
    <x:tableColumn id="3" name="Module / Node Name"/>
    <x:tableColumn id="4" name="Typical Qty"/>
    <x:tableColumn id="5" name="Node Type"/>
    <x:tableColumn id="6" name="System"/>
    <x:tableColumn id="7" name="E90"/>
    <x:tableColumn id="8" name="E91"/>
    <x:tableColumn id="9" name="E92"/>
    <x:tableColumn id="10" name="E93"/>
    <x:tableColumn id="11" name="Fitment / Option Notes"/>
    <x:tableColumn id="12" name="Primary Network(s)"/>
    <x:tableColumn id="13" name="Other Network / Interfaces"/>
    <x:tableColumn id="14" name="Main Function"/>
    <x:tableColumn id="15" name="Safety Criticality"/>
    <x:tableColumn id="16" name="Security / Pairing"/>
    <x:tableColumn id="17" name="Initial Replacement Difficulty"/>
    <x:tableColumn id="18" name="Current Replacement Level (0-5)"/>
    <x:tableColumn id="19" name="Status"/>
    <x:tableColumn id="20" name="Selected Replacement Hardware(s)"/>
    <x:tableColumn id="21" name="OEM MCU / SoC / HW Notes"/>
    <x:tableColumn id="22" name="Replacement / Emulation Notes"/>
    <x:tableColumn id="23" name="Primary Source URL"/>
    <x:tableColumn id="24" name="Source Detail"/>
    <x:tableColumn id="25" name="Conf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4a9a23919240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0679d7ee1214be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40" hidden="0" customWidth="1"/>
    <x:col min="4" max="4" width="13" hidden="0" customWidth="1"/>
    <x:col min="5" max="5" width="22" hidden="0" customWidth="1"/>
    <x:col min="6" max="6" width="2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42" hidden="0" customWidth="1"/>
    <x:col min="12" max="12" width="25" hidden="0" customWidth="1"/>
    <x:col min="13" max="13" width="40" hidden="0" customWidth="1"/>
    <x:col min="14" max="14" width="54" hidden="0" customWidth="1"/>
    <x:col min="15" max="15" width="16" hidden="0" customWidth="1"/>
    <x:col min="16" max="16" width="26" hidden="0" customWidth="1"/>
    <x:col min="17" max="17" width="21" hidden="0" customWidth="1"/>
    <x:col min="18" max="18" width="17" hidden="0" customWidth="1"/>
    <x:col min="19" max="19" width="19" hidden="0" customWidth="1"/>
    <x:col min="20" max="20" width="36" hidden="0" customWidth="1"/>
    <x:col min="21" max="21" width="31" hidden="0" customWidth="1"/>
    <x:col min="22" max="22" width="50" hidden="0" customWidth="1"/>
    <x:col min="23" max="23" width="58" hidden="0" customWidth="1"/>
    <x:col min="24" max="24" width="36" hidden="0" customWidth="1"/>
    <x:col min="25" max="25" width="12" hidden="0" customWidth="1"/>
  </x:cols>
  <x:sheetData>
    <x:row r="1" ht="34" customHeight="1">
      <x:c r="A1" s="6" t="str">
        <x:v>Module ID</x:v>
      </x:c>
      <x:c r="B1" s="6" t="str">
        <x:v>BMW Acronym</x:v>
      </x:c>
      <x:c r="C1" s="6" t="str">
        <x:v>Module / Node Name</x:v>
      </x:c>
      <x:c r="D1" s="6" t="str">
        <x:v>Typical Qty</x:v>
      </x:c>
      <x:c r="E1" s="6" t="str">
        <x:v>Node Type</x:v>
      </x:c>
      <x:c r="F1" s="6" t="str">
        <x:v>System</x:v>
      </x:c>
      <x:c r="G1" s="6" t="str">
        <x:v>E90</x:v>
      </x:c>
      <x:c r="H1" s="6" t="str">
        <x:v>E91</x:v>
      </x:c>
      <x:c r="I1" s="6" t="str">
        <x:v>E92</x:v>
      </x:c>
      <x:c r="J1" s="6" t="str">
        <x:v>E93</x:v>
      </x:c>
      <x:c r="K1" s="6" t="str">
        <x:v>Fitment / Option Notes</x:v>
      </x:c>
      <x:c r="L1" s="6" t="str">
        <x:v>Primary Network(s)</x:v>
      </x:c>
      <x:c r="M1" s="6" t="str">
        <x:v>Other Network / Interfaces</x:v>
      </x:c>
      <x:c r="N1" s="6" t="str">
        <x:v>Main Function</x:v>
      </x:c>
      <x:c r="O1" s="6" t="str">
        <x:v>Safety Criticality</x:v>
      </x:c>
      <x:c r="P1" s="6" t="str">
        <x:v>Security / Pairing</x:v>
      </x:c>
      <x:c r="Q1" s="6" t="str">
        <x:v>Initial Replacement Difficulty</x:v>
      </x:c>
      <x:c r="R1" s="6" t="str">
        <x:v>Current Replacement Level (0-5)</x:v>
      </x:c>
      <x:c r="S1" s="6" t="str">
        <x:v>Status</x:v>
      </x:c>
      <x:c r="T1" s="6" t="str">
        <x:v>Selected Replacement Hardware(s)</x:v>
      </x:c>
      <x:c r="U1" s="6" t="str">
        <x:v>OEM MCU / SoC / HW Notes</x:v>
      </x:c>
      <x:c r="V1" s="6" t="str">
        <x:v>Replacement / Emulation Notes</x:v>
      </x:c>
      <x:c r="W1" s="6" t="str">
        <x:v>Primary Source URL</x:v>
      </x:c>
      <x:c r="X1" s="6" t="str">
        <x:v>Source Detail</x:v>
      </x:c>
      <x:c r="Y1" s="6" t="str">
        <x:v>Confidence</x:v>
      </x:c>
    </x:row>
    <x:row r="2" ht="42" customHeight="1">
      <x:c r="A2" s="14" t="str">
        <x:v>GW-JBE</x:v>
      </x:c>
      <x:c r="B2" s="14" t="str">
        <x:v>JBE / JB</x:v>
      </x:c>
      <x:c r="C2" s="14" t="str">
        <x:v>Junction Box Electronics / Junction Box control electronics</x:v>
      </x:c>
      <x:c r="D2" s="18" t="str">
        <x:v>1</x:v>
      </x:c>
      <x:c r="E2" s="14" t="str">
        <x:v>Gateway / ECU</x:v>
      </x:c>
      <x:c r="F2" s="14" t="str">
        <x:v>Gateway &amp; power distribution</x:v>
      </x:c>
      <x:c r="G2" s="18" t="str">
        <x:v>Yes</x:v>
      </x:c>
      <x:c r="H2" s="18" t="str">
        <x:v>Yes</x:v>
      </x:c>
      <x:c r="I2" s="18" t="str">
        <x:v>Yes</x:v>
      </x:c>
      <x:c r="J2" s="18" t="str">
        <x:v>Yes</x:v>
      </x:c>
      <x:c r="K2" s="14" t="str">
        <x:v>Core module; naming appears as JBE/JB depending document/generation.</x:v>
      </x:c>
      <x:c r="L2" s="14" t="str">
        <x:v>K-CAN; PT-CAN</x:v>
      </x:c>
      <x:c r="M2" s="14" t="str">
        <x:v>D-CAN gateway; F-CAN pass-through; hardwired I/O</x:v>
      </x:c>
      <x:c r="N2" s="14" t="str">
        <x:v>Central body/power distribution electronics; gateway between K-CAN and PT-CAN; distributes terminal/power functions.</x:v>
      </x:c>
      <x:c r="O2" s="18" t="str">
        <x:v>High</x:v>
      </x:c>
      <x:c r="P2" s="14" t="str">
        <x:v>Coding/VIN</x:v>
      </x:c>
      <x:c r="Q2" s="18" t="str">
        <x:v>Very High</x:v>
      </x:c>
      <x:c r="R2" s="20" t="n">
        <x:v>0</x:v>
      </x:c>
      <x:c r="S2" s="20" t="str">
        <x:v>Identified</x:v>
      </x:c>
      <x:c r="T2" s="16" t="str"/>
      <x:c r="U2" s="16" t="str"/>
      <x:c r="V2" s="16" t="str">
        <x:v>Likely one of E9XSim's most important replacement targets because many distributed body functions converge here.</x:v>
      </x:c>
      <x:c r="W2" s="14" t="str">
        <x:v>https://www.scribd.com/document/672698702/System-Overview-of-Junction-Box-Electronics-E90-E91-E92-E93</x:v>
      </x:c>
      <x:c r="X2" s="14" t="str">
        <x:v>JBE system overview + BMW bus charts</x:v>
      </x:c>
      <x:c r="Y2" s="18" t="str">
        <x:v>High</x:v>
      </x:c>
    </x:row>
    <x:row r="3" ht="42" customHeight="1">
      <x:c r="A3" s="14" t="str">
        <x:v>ACC-CAS</x:v>
      </x:c>
      <x:c r="B3" s="14" t="str">
        <x:v>CAS / CAS3</x:v>
      </x:c>
      <x:c r="C3" s="14" t="str">
        <x:v>Car Access System</x:v>
      </x:c>
      <x:c r="D3" s="18" t="str">
        <x:v>1</x:v>
      </x:c>
      <x:c r="E3" s="14" t="str">
        <x:v>ECU</x:v>
      </x:c>
      <x:c r="F3" s="14" t="str">
        <x:v>Access / immobilizer</x:v>
      </x:c>
      <x:c r="G3" s="18" t="str">
        <x:v>Yes</x:v>
      </x:c>
      <x:c r="H3" s="18" t="str">
        <x:v>Yes</x:v>
      </x:c>
      <x:c r="I3" s="18" t="str">
        <x:v>Yes</x:v>
      </x:c>
      <x:c r="J3" s="18" t="str">
        <x:v>Yes</x:v>
      </x:c>
      <x:c r="K3" s="14" t="str">
        <x:v>Core access/start authorization module; later E9X commonly CAS3 generation.</x:v>
      </x:c>
      <x:c r="L3" s="14" t="str">
        <x:v>K-CAN</x:v>
      </x:c>
      <x:c r="M3" s="14" t="str">
        <x:v>K-Bus protocol / direct start-auth links to DME/DDE/EGS; key RF interfaces</x:v>
      </x:c>
      <x:c r="N3" s="14" t="str">
        <x:v>Vehicle access, terminal state, start authorization, key management and immobilizer coordination.</x:v>
      </x:c>
      <x:c r="O3" s="18" t="str">
        <x:v>Critical</x:v>
      </x:c>
      <x:c r="P3" s="14" t="str">
        <x:v>Immobilizer / cryptographic pairing</x:v>
      </x:c>
      <x:c r="Q3" s="18" t="str">
        <x:v>Very High</x:v>
      </x:c>
      <x:c r="R3" s="20" t="n">
        <x:v>0</x:v>
      </x:c>
      <x:c r="S3" s="20" t="str">
        <x:v>Identified</x:v>
      </x:c>
      <x:c r="T3" s="16" t="str"/>
      <x:c r="U3" s="16" t="str"/>
      <x:c r="V3" s="16" t="str">
        <x:v>Replacement requires compatibility with DME/DDE and key/start authorization behavior.</x:v>
      </x:c>
      <x:c r="W3" s="14" t="str">
        <x:v>https://www.scribd.com/document/672698702/System-Overview-of-Junction-Box-Electronics-E90-E91-E92-E93</x:v>
      </x:c>
      <x:c r="X3" s="14" t="str">
        <x:v>Listed on K-CAN; body-bus/direct links to powertrain controllers</x:v>
      </x:c>
      <x:c r="Y3" s="18" t="str">
        <x:v>High</x:v>
      </x:c>
    </x:row>
    <x:row r="4" ht="42" customHeight="1">
      <x:c r="A4" s="14" t="str">
        <x:v>BODY-FRM</x:v>
      </x:c>
      <x:c r="B4" s="14" t="str">
        <x:v>FRM</x:v>
      </x:c>
      <x:c r="C4" s="14" t="str">
        <x:v>Footwell Module</x:v>
      </x:c>
      <x:c r="D4" s="18" t="str">
        <x:v>1</x:v>
      </x:c>
      <x:c r="E4" s="14" t="str">
        <x:v>ECU</x:v>
      </x:c>
      <x:c r="F4" s="14" t="str">
        <x:v>Body / lighting</x:v>
      </x:c>
      <x:c r="G4" s="18" t="str">
        <x:v>Yes</x:v>
      </x:c>
      <x:c r="H4" s="18" t="str">
        <x:v>Yes</x:v>
      </x:c>
      <x:c r="I4" s="18" t="str">
        <x:v>Yes</x:v>
      </x:c>
      <x:c r="J4" s="18" t="str">
        <x:v>Yes</x:v>
      </x:c>
      <x:c r="K4" s="14" t="str">
        <x:v>LCI cars generally use later FRM generations; exact FRM2/FRM3 depends production/options.</x:v>
      </x:c>
      <x:c r="L4" s="14" t="str">
        <x:v>K-CAN</x:v>
      </x:c>
      <x:c r="M4" s="14" t="str">
        <x:v>PT-CAN receive path; LIN masters; hardwired lighting/window I/O</x:v>
      </x:c>
      <x:c r="N4" s="14" t="str">
        <x:v>Exterior/interior lighting, window-related functions, adaptive-headlight coordination, local LIN gateway.</x:v>
      </x:c>
      <x:c r="O4" s="18" t="str">
        <x:v>High</x:v>
      </x:c>
      <x:c r="P4" s="14" t="str">
        <x:v>Coding/VIN</x:v>
      </x:c>
      <x:c r="Q4" s="18" t="str">
        <x:v>High</x:v>
      </x:c>
      <x:c r="R4" s="20" t="n">
        <x:v>0</x:v>
      </x:c>
      <x:c r="S4" s="20" t="str">
        <x:v>Identified</x:v>
      </x:c>
      <x:c r="T4" s="16" t="str"/>
      <x:c r="U4" s="16" t="str"/>
      <x:c r="V4" s="16" t="str">
        <x:v>Strong replacement candidate but requires substantial high-current I/O and coding behavior.</x:v>
      </x:c>
      <x:c r="W4" s="14" t="str">
        <x:v>https://www.e92n55.com/wp-content/uploads/2016/08/pdf-bmw-e90-voltage-supply-bus-systems.pdf</x:v>
      </x:c>
      <x:c r="X4" s="14" t="str">
        <x:v>BMW training: FRM connected to K-CAN, PT-CAN and LIN</x:v>
      </x:c>
      <x:c r="Y4" s="18" t="str">
        <x:v>High</x:v>
      </x:c>
    </x:row>
    <x:row r="5" ht="42" customHeight="1">
      <x:c r="A5" s="14" t="str">
        <x:v>BODY-KOMBI</x:v>
      </x:c>
      <x:c r="B5" s="14" t="str">
        <x:v>KOMBI</x:v>
      </x:c>
      <x:c r="C5" s="14" t="str">
        <x:v>Instrument Cluster</x:v>
      </x:c>
      <x:c r="D5" s="18" t="str">
        <x:v>1</x:v>
      </x:c>
      <x:c r="E5" s="14" t="str">
        <x:v>ECU / Display</x:v>
      </x:c>
      <x:c r="F5" s="14" t="str">
        <x:v>Driver information</x:v>
      </x:c>
      <x:c r="G5" s="18" t="str">
        <x:v>Yes</x:v>
      </x:c>
      <x:c r="H5" s="18" t="str">
        <x:v>Yes</x:v>
      </x:c>
      <x:c r="I5" s="18" t="str">
        <x:v>Yes</x:v>
      </x:c>
      <x:c r="J5" s="18" t="str">
        <x:v>Yes</x:v>
      </x:c>
      <x:c r="K5" s="14" t="str">
        <x:v>Cluster variant depends engine, market and M/non-M.</x:v>
      </x:c>
      <x:c r="L5" s="14" t="str">
        <x:v>K-CAN</x:v>
      </x:c>
      <x:c r="M5" s="14" t="str">
        <x:v>Hardwired display/indicators; gatewayed PT/F-CAN information</x:v>
      </x:c>
      <x:c r="N5" s="14" t="str">
        <x:v>Driver instrumentation, warnings, check-control presentation, odometer/service data.</x:v>
      </x:c>
      <x:c r="O5" s="18" t="str">
        <x:v>Medium</x:v>
      </x:c>
      <x:c r="P5" s="14" t="str">
        <x:v>Coding/VIN / mileage-sensitive data</x:v>
      </x:c>
      <x:c r="Q5" s="18" t="str">
        <x:v>Moderate</x:v>
      </x:c>
      <x:c r="R5" s="20" t="n">
        <x:v>0</x:v>
      </x:c>
      <x:c r="S5" s="20" t="str">
        <x:v>Identified</x:v>
      </x:c>
      <x:c r="T5" s="16" t="str"/>
      <x:c r="U5" s="16" t="str"/>
      <x:c r="V5" s="16" t="str">
        <x:v>Network emulation should be easier than a physical drop-in replacement; display and nonvolatile identity data add complexity.</x:v>
      </x:c>
      <x:c r="W5" s="14" t="str">
        <x:v>https://bmwrepairguide.com/virtual-library/technical-training/ST401b%20Bus%20System%20Overview.pdf</x:v>
      </x:c>
      <x:c r="X5" s="14" t="str">
        <x:v>Late E9X bus overview</x:v>
      </x:c>
      <x:c r="Y5" s="18" t="str">
        <x:v>High</x:v>
      </x:c>
    </x:row>
    <x:row r="6" ht="42" customHeight="1">
      <x:c r="A6" s="14" t="str">
        <x:v>BODY-FZD</x:v>
      </x:c>
      <x:c r="B6" s="14" t="str">
        <x:v>FZD</x:v>
      </x:c>
      <x:c r="C6" s="14" t="str">
        <x:v>Roof Function Center</x:v>
      </x:c>
      <x:c r="D6" s="18" t="str">
        <x:v>1</x:v>
      </x:c>
      <x:c r="E6" s="14" t="str">
        <x:v>ECU</x:v>
      </x:c>
      <x:c r="F6" s="14" t="str">
        <x:v>Body / roof electronics</x:v>
      </x:c>
      <x:c r="G6" s="18" t="str">
        <x:v>Yes</x:v>
      </x:c>
      <x:c r="H6" s="18" t="str">
        <x:v>Yes</x:v>
      </x:c>
      <x:c r="I6" s="18" t="str">
        <x:v>Yes</x:v>
      </x:c>
      <x:c r="J6" s="18" t="str">
        <x:v>Yes</x:v>
      </x:c>
      <x:c r="K6" s="14" t="str">
        <x:v>Variant depends alarm, sunroof/convertible and interior equipment.</x:v>
      </x:c>
      <x:c r="L6" s="14" t="str">
        <x:v>K-CAN</x:v>
      </x:c>
      <x:c r="M6" s="14" t="str">
        <x:v>LIN to RLS and local roof/interior devices</x:v>
      </x:c>
      <x:c r="N6" s="14" t="str">
        <x:v>Roof switch functions, interior lighting coordination and local sensor gateway functions.</x:v>
      </x:c>
      <x:c r="O6" s="18" t="str">
        <x:v>Medium</x:v>
      </x:c>
      <x:c r="P6" s="14" t="str">
        <x:v>Coding</x:v>
      </x:c>
      <x:c r="Q6" s="18" t="str">
        <x:v>Moderate</x:v>
      </x:c>
      <x:c r="R6" s="20" t="n">
        <x:v>0</x:v>
      </x:c>
      <x:c r="S6" s="20" t="str">
        <x:v>Identified</x:v>
      </x:c>
      <x:c r="T6" s="16" t="str"/>
      <x:c r="U6" s="16" t="str"/>
      <x:c r="V6" s="16" t="str">
        <x:v>Good candidate for network-first emulation followed by I/O replacement.</x:v>
      </x:c>
      <x:c r="W6" s="14" t="str">
        <x:v>https://www.scribd.com/document/672698702/System-Overview-of-Junction-Box-Electronics-E90-E91-E92-E93</x:v>
      </x:c>
      <x:c r="X6" s="14" t="str">
        <x:v>K-CAN ECU with LIN connection to rain/light sensor</x:v>
      </x:c>
      <x:c r="Y6" s="18" t="str">
        <x:v>High</x:v>
      </x:c>
    </x:row>
    <x:row r="7" ht="42" customHeight="1">
      <x:c r="A7" s="14" t="str">
        <x:v>CLIM-IHKA</x:v>
      </x:c>
      <x:c r="B7" s="14" t="str">
        <x:v>IHKA</x:v>
      </x:c>
      <x:c r="C7" s="14" t="str">
        <x:v>Integrated Automatic Heating / Air Conditioning</x:v>
      </x:c>
      <x:c r="D7" s="18" t="str">
        <x:v>1</x:v>
      </x:c>
      <x:c r="E7" s="14" t="str">
        <x:v>ECU</x:v>
      </x:c>
      <x:c r="F7" s="14" t="str">
        <x:v>Climate</x:v>
      </x:c>
      <x:c r="G7" s="18" t="str">
        <x:v>Yes</x:v>
      </x:c>
      <x:c r="H7" s="18" t="str">
        <x:v>Yes</x:v>
      </x:c>
      <x:c r="I7" s="18" t="str">
        <x:v>Yes</x:v>
      </x:c>
      <x:c r="J7" s="18" t="str">
        <x:v>Yes</x:v>
      </x:c>
      <x:c r="K7" s="14" t="str">
        <x:v>Equipment can also use IHR/IHKR variants in some markets/trims.</x:v>
      </x:c>
      <x:c r="L7" s="14" t="str">
        <x:v>K-CAN</x:v>
      </x:c>
      <x:c r="M7" s="14" t="str">
        <x:v>LIN to flap motors / electric auxiliary heater; hardwired HVAC I/O</x:v>
      </x:c>
      <x:c r="N7" s="14" t="str">
        <x:v>Automatic climate control, blower/flap commands, temperature regulation and HVAC status.</x:v>
      </x:c>
      <x:c r="O7" s="18" t="str">
        <x:v>Medium</x:v>
      </x:c>
      <x:c r="P7" s="14" t="str">
        <x:v>Coding</x:v>
      </x:c>
      <x:c r="Q7" s="18" t="str">
        <x:v>High</x:v>
      </x:c>
      <x:c r="R7" s="20" t="n">
        <x:v>0</x:v>
      </x:c>
      <x:c r="S7" s="20" t="str">
        <x:v>Identified</x:v>
      </x:c>
      <x:c r="T7" s="16" t="str"/>
      <x:c r="U7" s="16" t="str"/>
      <x:c r="V7" s="16" t="str">
        <x:v>Large local-I/O surface; CAN personality is only part of the replacement task.</x:v>
      </x:c>
      <x:c r="W7" s="14" t="str">
        <x:v>https://www.scribd.com/document/672698702/System-Overview-of-Junction-Box-Electronics-E90-E91-E92-E93</x:v>
      </x:c>
      <x:c r="X7" s="14" t="str">
        <x:v>K-CAN ECU; LIN sub-bus to HVAC actuators</x:v>
      </x:c>
      <x:c r="Y7" s="18" t="str">
        <x:v>High</x:v>
      </x:c>
    </x:row>
    <x:row r="8" ht="42" customHeight="1">
      <x:c r="A8" s="14" t="str">
        <x:v>BODY-PDC</x:v>
      </x:c>
      <x:c r="B8" s="14" t="str">
        <x:v>PDC</x:v>
      </x:c>
      <x:c r="C8" s="14" t="str">
        <x:v>Park Distance Control</x:v>
      </x:c>
      <x:c r="D8" s="18" t="str">
        <x:v>1</x:v>
      </x:c>
      <x:c r="E8" s="14" t="str">
        <x:v>ECU</x:v>
      </x:c>
      <x:c r="F8" s="14" t="str">
        <x:v>Parking</x:v>
      </x:c>
      <x:c r="G8" s="18" t="str">
        <x:v>Yes</x:v>
      </x:c>
      <x:c r="H8" s="18" t="str">
        <x:v>Yes</x:v>
      </x:c>
      <x:c r="I8" s="18" t="str">
        <x:v>Yes</x:v>
      </x:c>
      <x:c r="J8" s="18" t="str">
        <x:v>Yes</x:v>
      </x:c>
      <x:c r="K8" s="14" t="str">
        <x:v>Optional; sensor count varies by body/equipment.</x:v>
      </x:c>
      <x:c r="L8" s="14" t="str">
        <x:v>K-CAN</x:v>
      </x:c>
      <x:c r="M8" s="14" t="str">
        <x:v>Ultrasonic sensors; audio/display integration</x:v>
      </x:c>
      <x:c r="N8" s="14" t="str">
        <x:v>Reads parking sensors and publishes obstacle/distance status.</x:v>
      </x:c>
      <x:c r="O8" s="18" t="str">
        <x:v>Low</x:v>
      </x:c>
      <x:c r="P8" s="14" t="str">
        <x:v>Coding</x:v>
      </x:c>
      <x:c r="Q8" s="18" t="str">
        <x:v>Moderate</x:v>
      </x:c>
      <x:c r="R8" s="20" t="n">
        <x:v>0</x:v>
      </x:c>
      <x:c r="S8" s="20" t="str">
        <x:v>Identified</x:v>
      </x:c>
      <x:c r="T8" s="16" t="str"/>
      <x:c r="U8" s="16" t="str"/>
      <x:c r="V8" s="16" t="str">
        <x:v>Relatively attractive replacement target once ultrasonic sensor electrical interface is documented.</x:v>
      </x:c>
      <x:c r="W8" s="14" t="str">
        <x:v>https://www.scribd.com/document/672698702/System-Overview-of-Junction-Box-Electronics-E90-E91-E92-E93</x:v>
      </x:c>
      <x:c r="X8" s="14" t="str">
        <x:v>Listed as K-CAN control unit</x:v>
      </x:c>
      <x:c r="Y8" s="18" t="str">
        <x:v>High</x:v>
      </x:c>
    </x:row>
    <x:row r="9" ht="42" customHeight="1">
      <x:c r="A9" s="14" t="str">
        <x:v>BODY-SBFA</x:v>
      </x:c>
      <x:c r="B9" s="14" t="str">
        <x:v>SBFA</x:v>
      </x:c>
      <x:c r="C9" s="14" t="str">
        <x:v>Driver's Door Switch Block</x:v>
      </x:c>
      <x:c r="D9" s="18" t="str">
        <x:v>1</x:v>
      </x:c>
      <x:c r="E9" s="14" t="str">
        <x:v>Local ECU / switch module</x:v>
      </x:c>
      <x:c r="F9" s="14" t="str">
        <x:v>Body / doors</x:v>
      </x:c>
      <x:c r="G9" s="18" t="str">
        <x:v>Yes</x:v>
      </x:c>
      <x:c r="H9" s="18" t="str">
        <x:v>Yes</x:v>
      </x:c>
      <x:c r="I9" s="18" t="str">
        <x:v>Yes</x:v>
      </x:c>
      <x:c r="J9" s="18" t="str">
        <x:v>Yes</x:v>
      </x:c>
      <x:c r="K9" s="14" t="str">
        <x:v>Door/switch configuration varies by body style.</x:v>
      </x:c>
      <x:c r="L9" s="14" t="str">
        <x:v>LIN</x:v>
      </x:c>
      <x:c r="M9" s="14" t="str">
        <x:v>FRM master; hardwired switches</x:v>
      </x:c>
      <x:c r="N9" s="14" t="str">
        <x:v>Reads driver door/window/mirror switch inputs and reports them to FRM.</x:v>
      </x:c>
      <x:c r="O9" s="18" t="str">
        <x:v>Low</x:v>
      </x:c>
      <x:c r="P9" s="14" t="str">
        <x:v>None known</x:v>
      </x:c>
      <x:c r="Q9" s="18" t="str">
        <x:v>Low</x:v>
      </x:c>
      <x:c r="R9" s="20" t="n">
        <x:v>0</x:v>
      </x:c>
      <x:c r="S9" s="20" t="str">
        <x:v>Identified</x:v>
      </x:c>
      <x:c r="T9" s="16" t="str"/>
      <x:c r="U9" s="16" t="str"/>
      <x:c r="V9" s="16" t="str">
        <x:v>Likely straightforward once LIN schedule and electrical inputs are known.</x:v>
      </x:c>
      <x:c r="W9" s="14" t="str">
        <x:v>https://www.scribd.com/document/672698702/System-Overview-of-Junction-Box-Electronics-E90-E91-E92-E93</x:v>
      </x:c>
      <x:c r="X9" s="14" t="str">
        <x:v>FRM LIN connection; driver door switch block</x:v>
      </x:c>
      <x:c r="Y9" s="18" t="str">
        <x:v>High</x:v>
      </x:c>
    </x:row>
    <x:row r="10" ht="42" customHeight="1">
      <x:c r="A10" s="14" t="str">
        <x:v>BODY-ASPFA</x:v>
      </x:c>
      <x:c r="B10" s="14" t="str">
        <x:v>ASPFA / ASP_FA</x:v>
      </x:c>
      <x:c r="C10" s="14" t="str">
        <x:v>Driver-side Exterior Mirror Electronics</x:v>
      </x:c>
      <x:c r="D10" s="18" t="str">
        <x:v>1</x:v>
      </x:c>
      <x:c r="E10" s="14" t="str">
        <x:v>Local ECU / actuator</x:v>
      </x:c>
      <x:c r="F10" s="14" t="str">
        <x:v>Body / mirrors</x:v>
      </x:c>
      <x:c r="G10" s="18" t="str">
        <x:v>Yes</x:v>
      </x:c>
      <x:c r="H10" s="18" t="str">
        <x:v>Yes</x:v>
      </x:c>
      <x:c r="I10" s="18" t="str">
        <x:v>Yes</x:v>
      </x:c>
      <x:c r="J10" s="18" t="str">
        <x:v>Yes</x:v>
      </x:c>
      <x:c r="K10" s="14" t="str">
        <x:v>Feature set varies with folding, dimming, memory and heating.</x:v>
      </x:c>
      <x:c r="L10" s="14" t="str">
        <x:v>LIN</x:v>
      </x:c>
      <x:c r="M10" s="14" t="str">
        <x:v>FRM master; mirror motors/heater/dimming</x:v>
      </x:c>
      <x:c r="N10" s="14" t="str">
        <x:v>Controls driver exterior mirror functions.</x:v>
      </x:c>
      <x:c r="O10" s="18" t="str">
        <x:v>Low</x:v>
      </x:c>
      <x:c r="P10" s="14" t="str">
        <x:v>Coding/variant</x:v>
      </x:c>
      <x:c r="Q10" s="18" t="str">
        <x:v>Moderate</x:v>
      </x:c>
      <x:c r="R10" s="20" t="n">
        <x:v>0</x:v>
      </x:c>
      <x:c r="S10" s="20" t="str">
        <x:v>Identified</x:v>
      </x:c>
      <x:c r="T10" s="16" t="str"/>
      <x:c r="U10" s="16" t="str"/>
      <x:c r="V10" s="16" t="str">
        <x:v>Can potentially be replaced with a small LIN MCU plus motor/driver electronics.</x:v>
      </x:c>
      <x:c r="W10" s="14" t="str">
        <x:v>https://www.scribd.com/document/672698702/System-Overview-of-Junction-Box-Electronics-E90-E91-E92-E93</x:v>
      </x:c>
      <x:c r="X10" s="14" t="str">
        <x:v>Exterior mirrors listed on FRM LIN bus</x:v>
      </x:c>
      <x:c r="Y10" s="18" t="str">
        <x:v>High</x:v>
      </x:c>
    </x:row>
    <x:row r="11" ht="42" customHeight="1">
      <x:c r="A11" s="14" t="str">
        <x:v>BODY-ASPBF</x:v>
      </x:c>
      <x:c r="B11" s="14" t="str">
        <x:v>ASPBF / ASP_BF</x:v>
      </x:c>
      <x:c r="C11" s="14" t="str">
        <x:v>Passenger-side Exterior Mirror Electronics</x:v>
      </x:c>
      <x:c r="D11" s="18" t="str">
        <x:v>1</x:v>
      </x:c>
      <x:c r="E11" s="14" t="str">
        <x:v>Local ECU / actuator</x:v>
      </x:c>
      <x:c r="F11" s="14" t="str">
        <x:v>Body / mirrors</x:v>
      </x:c>
      <x:c r="G11" s="18" t="str">
        <x:v>Yes</x:v>
      </x:c>
      <x:c r="H11" s="18" t="str">
        <x:v>Yes</x:v>
      </x:c>
      <x:c r="I11" s="18" t="str">
        <x:v>Yes</x:v>
      </x:c>
      <x:c r="J11" s="18" t="str">
        <x:v>Yes</x:v>
      </x:c>
      <x:c r="K11" s="14" t="str">
        <x:v>Feature set varies with folding, dimming, memory and heating.</x:v>
      </x:c>
      <x:c r="L11" s="14" t="str">
        <x:v>LIN</x:v>
      </x:c>
      <x:c r="M11" s="14" t="str">
        <x:v>FRM master; mirror motors/heater/dimming</x:v>
      </x:c>
      <x:c r="N11" s="14" t="str">
        <x:v>Controls passenger exterior mirror functions.</x:v>
      </x:c>
      <x:c r="O11" s="18" t="str">
        <x:v>Low</x:v>
      </x:c>
      <x:c r="P11" s="14" t="str">
        <x:v>Coding/variant</x:v>
      </x:c>
      <x:c r="Q11" s="18" t="str">
        <x:v>Moderate</x:v>
      </x:c>
      <x:c r="R11" s="20" t="n">
        <x:v>0</x:v>
      </x:c>
      <x:c r="S11" s="20" t="str">
        <x:v>Identified</x:v>
      </x:c>
      <x:c r="T11" s="16" t="str"/>
      <x:c r="U11" s="16" t="str"/>
      <x:c r="V11" s="16" t="str">
        <x:v>Can potentially share replacement hardware design with ASPFA.</x:v>
      </x:c>
      <x:c r="W11" s="14" t="str">
        <x:v>https://www.scribd.com/document/672698702/System-Overview-of-Junction-Box-Electronics-E90-E91-E92-E93</x:v>
      </x:c>
      <x:c r="X11" s="14" t="str">
        <x:v>Exterior mirrors listed on FRM LIN bus</x:v>
      </x:c>
      <x:c r="Y11" s="18" t="str">
        <x:v>High</x:v>
      </x:c>
    </x:row>
    <x:row r="12" ht="42" customHeight="1">
      <x:c r="A12" s="14" t="str">
        <x:v>SEAT-SMFA</x:v>
      </x:c>
      <x:c r="B12" s="14" t="str">
        <x:v>SMFA</x:v>
      </x:c>
      <x:c r="C12" s="14" t="str">
        <x:v>Driver Seat Module</x:v>
      </x:c>
      <x:c r="D12" s="18" t="str">
        <x:v>1</x:v>
      </x:c>
      <x:c r="E12" s="14" t="str">
        <x:v>ECU</x:v>
      </x:c>
      <x:c r="F12" s="14" t="str">
        <x:v>Seats</x:v>
      </x:c>
      <x:c r="G12" s="18" t="str">
        <x:v>Optional</x:v>
      </x:c>
      <x:c r="H12" s="18" t="str">
        <x:v>Optional</x:v>
      </x:c>
      <x:c r="I12" s="18" t="str">
        <x:v>Optional</x:v>
      </x:c>
      <x:c r="J12" s="18" t="str">
        <x:v>Optional</x:v>
      </x:c>
      <x:c r="K12" s="14" t="str">
        <x:v>Typically fitted with powered/memory seat equipment.</x:v>
      </x:c>
      <x:c r="L12" s="14" t="str">
        <x:v>K-CAN</x:v>
      </x:c>
      <x:c r="M12" s="14" t="str">
        <x:v>Body-bus connection to seat adjustment switch block; motor outputs</x:v>
      </x:c>
      <x:c r="N12" s="14" t="str">
        <x:v>Power/memory seat control and position storage.</x:v>
      </x:c>
      <x:c r="O12" s="18" t="str">
        <x:v>Medium</x:v>
      </x:c>
      <x:c r="P12" s="14" t="str">
        <x:v>Coding</x:v>
      </x:c>
      <x:c r="Q12" s="18" t="str">
        <x:v>High</x:v>
      </x:c>
      <x:c r="R12" s="20" t="n">
        <x:v>0</x:v>
      </x:c>
      <x:c r="S12" s="20" t="str">
        <x:v>Identified</x:v>
      </x:c>
      <x:c r="T12" s="16" t="str"/>
      <x:c r="U12" s="16" t="str"/>
      <x:c r="V12" s="16" t="str">
        <x:v>High-current multi-motor I/O makes full hardware replacement more involved than CAN emulation.</x:v>
      </x:c>
      <x:c r="W12" s="14" t="str">
        <x:v>https://www.scribd.com/document/672698702/System-Overview-of-Junction-Box-Electronics-E90-E91-E92-E93</x:v>
      </x:c>
      <x:c r="X12" s="14" t="str">
        <x:v>Listed on K-CAN</x:v>
      </x:c>
      <x:c r="Y12" s="18" t="str">
        <x:v>High</x:v>
      </x:c>
    </x:row>
    <x:row r="13" ht="42" customHeight="1">
      <x:c r="A13" s="14" t="str">
        <x:v>SEAT-SMBF</x:v>
      </x:c>
      <x:c r="B13" s="14" t="str">
        <x:v>SMBF</x:v>
      </x:c>
      <x:c r="C13" s="14" t="str">
        <x:v>Front Passenger Seat Module</x:v>
      </x:c>
      <x:c r="D13" s="18" t="str">
        <x:v>1</x:v>
      </x:c>
      <x:c r="E13" s="14" t="str">
        <x:v>ECU</x:v>
      </x:c>
      <x:c r="F13" s="14" t="str">
        <x:v>Seats</x:v>
      </x:c>
      <x:c r="G13" s="18" t="str">
        <x:v>Optional</x:v>
      </x:c>
      <x:c r="H13" s="18" t="str">
        <x:v>Optional</x:v>
      </x:c>
      <x:c r="I13" s="18" t="str">
        <x:v>Optional</x:v>
      </x:c>
      <x:c r="J13" s="18" t="str">
        <x:v>Optional</x:v>
      </x:c>
      <x:c r="K13" s="14" t="str">
        <x:v>Equipment/market dependent.</x:v>
      </x:c>
      <x:c r="L13" s="14" t="str">
        <x:v>K-CAN</x:v>
      </x:c>
      <x:c r="M13" s="14" t="str">
        <x:v>Body-bus connection to seat switch block; motor outputs</x:v>
      </x:c>
      <x:c r="N13" s="14" t="str">
        <x:v>Passenger power seat control and associated seat functions.</x:v>
      </x:c>
      <x:c r="O13" s="18" t="str">
        <x:v>Medium</x:v>
      </x:c>
      <x:c r="P13" s="14" t="str">
        <x:v>Coding</x:v>
      </x:c>
      <x:c r="Q13" s="18" t="str">
        <x:v>High</x:v>
      </x:c>
      <x:c r="R13" s="20" t="n">
        <x:v>0</x:v>
      </x:c>
      <x:c r="S13" s="20" t="str">
        <x:v>Identified</x:v>
      </x:c>
      <x:c r="T13" s="16" t="str"/>
      <x:c r="U13" s="16" t="str"/>
      <x:c r="V13" s="16" t="str">
        <x:v>Likely reusable architecture with SMFA replacement hardware.</x:v>
      </x:c>
      <x:c r="W13" s="14" t="str">
        <x:v>https://www.scribd.com/document/672698702/System-Overview-of-Junction-Box-Electronics-E90-E91-E92-E93</x:v>
      </x:c>
      <x:c r="X13" s="14" t="str">
        <x:v>Listed on K-CAN</x:v>
      </x:c>
      <x:c r="Y13" s="18" t="str">
        <x:v>High</x:v>
      </x:c>
    </x:row>
    <x:row r="14" ht="42" customHeight="1">
      <x:c r="A14" s="14" t="str">
        <x:v>ACC-CA</x:v>
      </x:c>
      <x:c r="B14" s="14" t="str">
        <x:v>CA</x:v>
      </x:c>
      <x:c r="C14" s="14" t="str">
        <x:v>Comfort Access Control Unit</x:v>
      </x:c>
      <x:c r="D14" s="18" t="str">
        <x:v>1</x:v>
      </x:c>
      <x:c r="E14" s="14" t="str">
        <x:v>ECU</x:v>
      </x:c>
      <x:c r="F14" s="14" t="str">
        <x:v>Access / convenience</x:v>
      </x:c>
      <x:c r="G14" s="18" t="str">
        <x:v>Optional</x:v>
      </x:c>
      <x:c r="H14" s="18" t="str">
        <x:v>Optional</x:v>
      </x:c>
      <x:c r="I14" s="18" t="str">
        <x:v>Optional</x:v>
      </x:c>
      <x:c r="J14" s="18" t="str">
        <x:v>Optional</x:v>
      </x:c>
      <x:c r="K14" s="14" t="str">
        <x:v>Only with Comfort Access option.</x:v>
      </x:c>
      <x:c r="L14" s="14" t="str">
        <x:v>K-CAN</x:v>
      </x:c>
      <x:c r="M14" s="14" t="str">
        <x:v>Low-frequency/RF antennas; body-bus links to door-handle electronics</x:v>
      </x:c>
      <x:c r="N14" s="14" t="str">
        <x:v>Passive entry and key-presence functions for Comfort Access.</x:v>
      </x:c>
      <x:c r="O14" s="18" t="str">
        <x:v>High</x:v>
      </x:c>
      <x:c r="P14" s="14" t="str">
        <x:v>Cryptographic/key-related behavior</x:v>
      </x:c>
      <x:c r="Q14" s="18" t="str">
        <x:v>Very High</x:v>
      </x:c>
      <x:c r="R14" s="20" t="n">
        <x:v>0</x:v>
      </x:c>
      <x:c r="S14" s="20" t="str">
        <x:v>Identified</x:v>
      </x:c>
      <x:c r="T14" s="16" t="str"/>
      <x:c r="U14" s="16" t="str"/>
      <x:c r="V14" s="16" t="str">
        <x:v>RF and security behavior make this significantly harder than its CAN role suggests.</x:v>
      </x:c>
      <x:c r="W14" s="14" t="str">
        <x:v>https://www.scribd.com/document/672698702/System-Overview-of-Junction-Box-Electronics-E90-E91-E92-E93</x:v>
      </x:c>
      <x:c r="X14" s="14" t="str">
        <x:v>K-CAN comfort access control unit</x:v>
      </x:c>
      <x:c r="Y14" s="18" t="str">
        <x:v>High</x:v>
      </x:c>
    </x:row>
    <x:row r="15" ht="42" customHeight="1">
      <x:c r="A15" s="14" t="str">
        <x:v>ACC-TAGE-FA</x:v>
      </x:c>
      <x:c r="B15" s="14" t="str">
        <x:v>TAGE</x:v>
      </x:c>
      <x:c r="C15" s="14" t="str">
        <x:v>Electronic Outer Door Handle Module - Driver</x:v>
      </x:c>
      <x:c r="D15" s="18" t="str">
        <x:v>1</x:v>
      </x:c>
      <x:c r="E15" s="14" t="str">
        <x:v>Local ECU / sensor</x:v>
      </x:c>
      <x:c r="F15" s="14" t="str">
        <x:v>Access / convenience</x:v>
      </x:c>
      <x:c r="G15" s="18" t="str">
        <x:v>Optional</x:v>
      </x:c>
      <x:c r="H15" s="18" t="str">
        <x:v>Optional</x:v>
      </x:c>
      <x:c r="I15" s="18" t="str">
        <x:v>Optional</x:v>
      </x:c>
      <x:c r="J15" s="18" t="str">
        <x:v>Optional</x:v>
      </x:c>
      <x:c r="K15" s="14" t="str">
        <x:v>Comfort Access only; 2x total front handles shown in BMW topology.</x:v>
      </x:c>
      <x:c r="L15" s="14" t="str">
        <x:v>K-Bus / body sub-bus</x:v>
      </x:c>
      <x:c r="M15" s="14" t="str">
        <x:v>CA local/body connection; capacitive/touch sensing</x:v>
      </x:c>
      <x:c r="N15" s="14" t="str">
        <x:v>Door-handle touch/request detection for Comfort Access.</x:v>
      </x:c>
      <x:c r="O15" s="18" t="str">
        <x:v>Low</x:v>
      </x:c>
      <x:c r="P15" s="14" t="str">
        <x:v>Security-adjacent</x:v>
      </x:c>
      <x:c r="Q15" s="18" t="str">
        <x:v>Moderate</x:v>
      </x:c>
      <x:c r="R15" s="20" t="n">
        <x:v>0</x:v>
      </x:c>
      <x:c r="S15" s="20" t="str">
        <x:v>Identified</x:v>
      </x:c>
      <x:c r="T15" s="16" t="str"/>
      <x:c r="U15" s="16" t="str"/>
      <x:c r="V15" s="16" t="str">
        <x:v>Likely small MCU replacement if local protocol is decoded.</x:v>
      </x:c>
      <x:c r="W15" s="14" t="str">
        <x:v>https://www.scribd.com/document/672698702/System-Overview-of-Junction-Box-Electronics-E90-E91-E92-E93</x:v>
      </x:c>
      <x:c r="X15" s="14" t="str">
        <x:v>Outside door handle electronics listed under CA body-bus connection</x:v>
      </x:c>
      <x:c r="Y15" s="18" t="str">
        <x:v>High</x:v>
      </x:c>
    </x:row>
    <x:row r="16" ht="42" customHeight="1">
      <x:c r="A16" s="14" t="str">
        <x:v>ACC-TAGE-BF</x:v>
      </x:c>
      <x:c r="B16" s="14" t="str">
        <x:v>TAGE</x:v>
      </x:c>
      <x:c r="C16" s="14" t="str">
        <x:v>Electronic Outer Door Handle Module - Passenger</x:v>
      </x:c>
      <x:c r="D16" s="18" t="str">
        <x:v>1</x:v>
      </x:c>
      <x:c r="E16" s="14" t="str">
        <x:v>Local ECU / sensor</x:v>
      </x:c>
      <x:c r="F16" s="14" t="str">
        <x:v>Access / convenience</x:v>
      </x:c>
      <x:c r="G16" s="18" t="str">
        <x:v>Optional</x:v>
      </x:c>
      <x:c r="H16" s="18" t="str">
        <x:v>Optional</x:v>
      </x:c>
      <x:c r="I16" s="18" t="str">
        <x:v>Optional</x:v>
      </x:c>
      <x:c r="J16" s="18" t="str">
        <x:v>Optional</x:v>
      </x:c>
      <x:c r="K16" s="14" t="str">
        <x:v>Comfort Access only.</x:v>
      </x:c>
      <x:c r="L16" s="14" t="str">
        <x:v>K-Bus / body sub-bus</x:v>
      </x:c>
      <x:c r="M16" s="14" t="str">
        <x:v>CA local/body connection; capacitive/touch sensing</x:v>
      </x:c>
      <x:c r="N16" s="14" t="str">
        <x:v>Passenger door-handle touch/request detection for Comfort Access.</x:v>
      </x:c>
      <x:c r="O16" s="18" t="str">
        <x:v>Low</x:v>
      </x:c>
      <x:c r="P16" s="14" t="str">
        <x:v>Security-adjacent</x:v>
      </x:c>
      <x:c r="Q16" s="18" t="str">
        <x:v>Moderate</x:v>
      </x:c>
      <x:c r="R16" s="20" t="n">
        <x:v>0</x:v>
      </x:c>
      <x:c r="S16" s="20" t="str">
        <x:v>Identified</x:v>
      </x:c>
      <x:c r="T16" s="16" t="str"/>
      <x:c r="U16" s="16" t="str"/>
      <x:c r="V16" s="16" t="str">
        <x:v>Likely same replacement hardware family as driver TAGE.</x:v>
      </x:c>
      <x:c r="W16" s="14" t="str">
        <x:v>https://www.scribd.com/document/672698702/System-Overview-of-Junction-Box-Electronics-E90-E91-E92-E93</x:v>
      </x:c>
      <x:c r="X16" s="14" t="str">
        <x:v>Outside door handle electronics listed under CA body-bus connection</x:v>
      </x:c>
      <x:c r="Y16" s="18" t="str">
        <x:v>High</x:v>
      </x:c>
    </x:row>
    <x:row r="17" ht="42" customHeight="1">
      <x:c r="A17" s="14" t="str">
        <x:v>BODY-RLS</x:v>
      </x:c>
      <x:c r="B17" s="14" t="str">
        <x:v>RLS</x:v>
      </x:c>
      <x:c r="C17" s="14" t="str">
        <x:v>Rain / Light Sensor</x:v>
      </x:c>
      <x:c r="D17" s="18" t="str">
        <x:v>1</x:v>
      </x:c>
      <x:c r="E17" s="14" t="str">
        <x:v>Networked sensor</x:v>
      </x:c>
      <x:c r="F17" s="14" t="str">
        <x:v>Body / sensing</x:v>
      </x:c>
      <x:c r="G17" s="18" t="str">
        <x:v>Yes</x:v>
      </x:c>
      <x:c r="H17" s="18" t="str">
        <x:v>Yes</x:v>
      </x:c>
      <x:c r="I17" s="18" t="str">
        <x:v>Yes</x:v>
      </x:c>
      <x:c r="J17" s="18" t="str">
        <x:v>Yes</x:v>
      </x:c>
      <x:c r="K17" s="14" t="str">
        <x:v>Exact RLS/RLSS variant depends equipment.</x:v>
      </x:c>
      <x:c r="L17" s="14" t="str">
        <x:v>LIN</x:v>
      </x:c>
      <x:c r="M17" s="14" t="str">
        <x:v>FZD master; optical sensing</x:v>
      </x:c>
      <x:c r="N17" s="14" t="str">
        <x:v>Rain sensing and ambient light detection for wipers/automatic lighting.</x:v>
      </x:c>
      <x:c r="O17" s="18" t="str">
        <x:v>Low</x:v>
      </x:c>
      <x:c r="P17" s="14" t="str">
        <x:v>None known</x:v>
      </x:c>
      <x:c r="Q17" s="18" t="str">
        <x:v>Moderate</x:v>
      </x:c>
      <x:c r="R17" s="20" t="n">
        <x:v>0</x:v>
      </x:c>
      <x:c r="S17" s="20" t="str">
        <x:v>Identified</x:v>
      </x:c>
      <x:c r="T17" s="16" t="str"/>
      <x:c r="U17" s="16" t="str"/>
      <x:c r="V17" s="16" t="str">
        <x:v>Optical sensor calibration may be harder than LIN emulation itself.</x:v>
      </x:c>
      <x:c r="W17" s="14" t="str">
        <x:v>https://www.scribd.com/document/672698702/System-Overview-of-Junction-Box-Electronics-E90-E91-E92-E93</x:v>
      </x:c>
      <x:c r="X17" s="14" t="str">
        <x:v>FZD LIN connection to rain/light sensor</x:v>
      </x:c>
      <x:c r="Y17" s="18" t="str">
        <x:v>High</x:v>
      </x:c>
    </x:row>
    <x:row r="18" ht="42" customHeight="1">
      <x:c r="A18" s="14" t="str">
        <x:v>SEC-SINE</x:v>
      </x:c>
      <x:c r="B18" s="14" t="str">
        <x:v>SINE</x:v>
      </x:c>
      <x:c r="C18" s="14" t="str">
        <x:v>Alarm Siren with Integrated Tilt Sensor</x:v>
      </x:c>
      <x:c r="D18" s="18" t="str">
        <x:v>1</x:v>
      </x:c>
      <x:c r="E18" s="14" t="str">
        <x:v>ECU / actuator / sensor</x:v>
      </x:c>
      <x:c r="F18" s="14" t="str">
        <x:v>Security</x:v>
      </x:c>
      <x:c r="G18" s="18" t="str">
        <x:v>Optional</x:v>
      </x:c>
      <x:c r="H18" s="18" t="str">
        <x:v>Optional</x:v>
      </x:c>
      <x:c r="I18" s="18" t="str">
        <x:v>Optional</x:v>
      </x:c>
      <x:c r="J18" s="18" t="str">
        <x:v>Optional</x:v>
      </x:c>
      <x:c r="K18" s="14" t="str">
        <x:v>Alarm system equipment; BMW documents distinguish E93 behavior/arrangement.</x:v>
      </x:c>
      <x:c r="L18" s="14" t="str">
        <x:v>K-CAN</x:v>
      </x:c>
      <x:c r="M18" s="14" t="str">
        <x:v>Internal backup battery; acoustic output; tilt sensing</x:v>
      </x:c>
      <x:c r="N18" s="14" t="str">
        <x:v>Alarm siren and tilt detection.</x:v>
      </x:c>
      <x:c r="O18" s="18" t="str">
        <x:v>Low</x:v>
      </x:c>
      <x:c r="P18" s="14" t="str">
        <x:v>Coding</x:v>
      </x:c>
      <x:c r="Q18" s="18" t="str">
        <x:v>Moderate</x:v>
      </x:c>
      <x:c r="R18" s="20" t="n">
        <x:v>0</x:v>
      </x:c>
      <x:c r="S18" s="20" t="str">
        <x:v>Identified</x:v>
      </x:c>
      <x:c r="T18" s="16" t="str"/>
      <x:c r="U18" s="16" t="str"/>
      <x:c r="V18" s="16" t="str">
        <x:v>Small standalone replacement target; battery-backed power behavior must be reproduced.</x:v>
      </x:c>
      <x:c r="W18" s="14" t="str">
        <x:v>https://www.scribd.com/document/672698702/System-Overview-of-Junction-Box-Electronics-E90-E91-E92-E93</x:v>
      </x:c>
      <x:c r="X18" s="14" t="str">
        <x:v>K-CAN alarm/siren listing</x:v>
      </x:c>
      <x:c r="Y18" s="18" t="str">
        <x:v>High</x:v>
      </x:c>
    </x:row>
    <x:row r="19" ht="42" customHeight="1">
      <x:c r="A19" s="14" t="str">
        <x:v>SEC-USIS</x:v>
      </x:c>
      <x:c r="B19" s="14" t="str">
        <x:v>USIS</x:v>
      </x:c>
      <x:c r="C19" s="14" t="str">
        <x:v>Ultrasonic Passenger-Compartment Sensor</x:v>
      </x:c>
      <x:c r="D19" s="18" t="str">
        <x:v>1</x:v>
      </x:c>
      <x:c r="E19" s="14" t="str">
        <x:v>Networked sensor</x:v>
      </x:c>
      <x:c r="F19" s="14" t="str">
        <x:v>Security</x:v>
      </x:c>
      <x:c r="G19" s="18" t="str">
        <x:v>Optional</x:v>
      </x:c>
      <x:c r="H19" s="18" t="str">
        <x:v>Optional</x:v>
      </x:c>
      <x:c r="I19" s="18" t="str">
        <x:v>Yes</x:v>
      </x:c>
      <x:c r="J19" s="18" t="str">
        <x:v>No</x:v>
      </x:c>
      <x:c r="K19" s="14" t="str">
        <x:v>Interior motion sensing on non-convertible alarm systems; E93 instead uses microwave sensing.</x:v>
      </x:c>
      <x:c r="L19" s="14" t="str">
        <x:v>K-CAN / local alarm interface</x:v>
      </x:c>
      <x:c r="M19" s="14" t="str">
        <x:v>Ultrasonic transducers</x:v>
      </x:c>
      <x:c r="N19" s="14" t="str">
        <x:v>Detects movement inside the cabin for anti-theft alarm.</x:v>
      </x:c>
      <x:c r="O19" s="18" t="str">
        <x:v>Low</x:v>
      </x:c>
      <x:c r="P19" s="14" t="str">
        <x:v>None known</x:v>
      </x:c>
      <x:c r="Q19" s="18" t="str">
        <x:v>Moderate</x:v>
      </x:c>
      <x:c r="R19" s="20" t="n">
        <x:v>0</x:v>
      </x:c>
      <x:c r="S19" s="20" t="str">
        <x:v>Identified</x:v>
      </x:c>
      <x:c r="T19" s="16" t="str"/>
      <x:c r="U19" s="16" t="str"/>
      <x:c r="V19" s="16" t="str">
        <x:v>Could potentially be emulated without reproducing original sensing hardware.</x:v>
      </x:c>
      <x:c r="W19" s="14" t="str">
        <x:v>https://bmwrepairguide.com/virtual-library/technical-training/ST401b%20Bus%20System%20Overview.pdf</x:v>
      </x:c>
      <x:c r="X19" s="14" t="str">
        <x:v>E92/E90 bus charts; E93 uses MW-SEN</x:v>
      </x:c>
      <x:c r="Y19" s="18" t="str">
        <x:v>Medium</x:v>
      </x:c>
    </x:row>
    <x:row r="20" ht="42" customHeight="1">
      <x:c r="A20" s="14" t="str">
        <x:v>SEC-MWSEN</x:v>
      </x:c>
      <x:c r="B20" s="14" t="str">
        <x:v>MW-SEN</x:v>
      </x:c>
      <x:c r="C20" s="14" t="str">
        <x:v>Microwave Interior Sensor</x:v>
      </x:c>
      <x:c r="D20" s="18" t="str">
        <x:v>4</x:v>
      </x:c>
      <x:c r="E20" s="14" t="str">
        <x:v>Networked sensor</x:v>
      </x:c>
      <x:c r="F20" s="14" t="str">
        <x:v>Security</x:v>
      </x:c>
      <x:c r="G20" s="18" t="str">
        <x:v>No</x:v>
      </x:c>
      <x:c r="H20" s="18" t="str">
        <x:v>No</x:v>
      </x:c>
      <x:c r="I20" s="18" t="str">
        <x:v>No</x:v>
      </x:c>
      <x:c r="J20" s="18" t="str">
        <x:v>Yes</x:v>
      </x:c>
      <x:c r="K20" s="14" t="str">
        <x:v>E93 convertible; shown as four sensors.</x:v>
      </x:c>
      <x:c r="L20" s="14" t="str">
        <x:v>K-CAN / local alarm interface</x:v>
      </x:c>
      <x:c r="M20" s="14" t="str">
        <x:v>Microwave sensing</x:v>
      </x:c>
      <x:c r="N20" s="14" t="str">
        <x:v>Convertible interior intrusion detection.</x:v>
      </x:c>
      <x:c r="O20" s="18" t="str">
        <x:v>Low</x:v>
      </x:c>
      <x:c r="P20" s="14" t="str">
        <x:v>None known</x:v>
      </x:c>
      <x:c r="Q20" s="18" t="str">
        <x:v>Moderate</x:v>
      </x:c>
      <x:c r="R20" s="20" t="n">
        <x:v>0</x:v>
      </x:c>
      <x:c r="S20" s="20" t="str">
        <x:v>Identified</x:v>
      </x:c>
      <x:c r="T20" s="16" t="str"/>
      <x:c r="U20" s="16" t="str"/>
      <x:c r="V20" s="16" t="str">
        <x:v>E93-specific sensing hardware.</x:v>
      </x:c>
      <x:c r="W20" s="14" t="str">
        <x:v>https://bmwrepairguide.com/virtual-library/technical-training/ST714-E93-Complete-Vehicle.pdf</x:v>
      </x:c>
      <x:c r="X20" s="14" t="str">
        <x:v>E93 bus overview / electronic systems</x:v>
      </x:c>
      <x:c r="Y20" s="18" t="str">
        <x:v>High</x:v>
      </x:c>
    </x:row>
    <x:row r="21" ht="42" customHeight="1">
      <x:c r="A21" s="14" t="str">
        <x:v>BODY-RDC</x:v>
      </x:c>
      <x:c r="B21" s="14" t="str">
        <x:v>RDC / TPMS</x:v>
      </x:c>
      <x:c r="C21" s="14" t="str">
        <x:v>Tyre Pressure Control Module</x:v>
      </x:c>
      <x:c r="D21" s="18" t="str">
        <x:v>1</x:v>
      </x:c>
      <x:c r="E21" s="14" t="str">
        <x:v>ECU</x:v>
      </x:c>
      <x:c r="F21" s="14" t="str">
        <x:v>Chassis / body</x:v>
      </x:c>
      <x:c r="G21" s="18" t="str">
        <x:v>Yes</x:v>
      </x:c>
      <x:c r="H21" s="18" t="str">
        <x:v>Yes</x:v>
      </x:c>
      <x:c r="I21" s="18" t="str">
        <x:v>Yes</x:v>
      </x:c>
      <x:c r="J21" s="18" t="str">
        <x:v>Yes</x:v>
      </x:c>
      <x:c r="K21" s="14" t="str">
        <x:v>Market-dependent direct TPMS system; wheel sensor quantity normally 4.</x:v>
      </x:c>
      <x:c r="L21" s="14" t="str">
        <x:v>K-CAN</x:v>
      </x:c>
      <x:c r="M21" s="14" t="str">
        <x:v>RF receiver / wheel transmitters</x:v>
      </x:c>
      <x:c r="N21" s="14" t="str">
        <x:v>Receives tyre-pressure sensor data and publishes tyre-pressure status/warnings.</x:v>
      </x:c>
      <x:c r="O21" s="18" t="str">
        <x:v>Medium</x:v>
      </x:c>
      <x:c r="P21" s="14" t="str">
        <x:v>Coding/variant</x:v>
      </x:c>
      <x:c r="Q21" s="18" t="str">
        <x:v>High</x:v>
      </x:c>
      <x:c r="R21" s="20" t="n">
        <x:v>0</x:v>
      </x:c>
      <x:c r="S21" s="20" t="str">
        <x:v>Identified</x:v>
      </x:c>
      <x:c r="T21" s="16" t="str"/>
      <x:c r="U21" s="16" t="str"/>
      <x:c r="V21" s="16" t="str">
        <x:v>RF protocol and regulatory behavior add work beyond CAN emulation.</x:v>
      </x:c>
      <x:c r="W21" s="14" t="str">
        <x:v>https://www.scribd.com/document/672698702/System-Overview-of-Junction-Box-Electronics-E90-E91-E92-E93</x:v>
      </x:c>
      <x:c r="X21" s="14" t="str">
        <x:v>RDC listed on K-CAN</x:v>
      </x:c>
      <x:c r="Y21" s="18" t="str">
        <x:v>High</x:v>
      </x:c>
    </x:row>
    <x:row r="22" ht="42" customHeight="1">
      <x:c r="A22" s="14" t="str">
        <x:v>BODY-OC3</x:v>
      </x:c>
      <x:c r="B22" s="14" t="str">
        <x:v>OC3</x:v>
      </x:c>
      <x:c r="C22" s="14" t="str">
        <x:v>Seat Occupancy Classification Electronics</x:v>
      </x:c>
      <x:c r="D22" s="18" t="str">
        <x:v>1</x:v>
      </x:c>
      <x:c r="E22" s="14" t="str">
        <x:v>Safety sensor ECU</x:v>
      </x:c>
      <x:c r="F22" s="14" t="str">
        <x:v>Restraints</x:v>
      </x:c>
      <x:c r="G22" s="18" t="str">
        <x:v>Yes</x:v>
      </x:c>
      <x:c r="H22" s="18" t="str">
        <x:v>Yes</x:v>
      </x:c>
      <x:c r="I22" s="18" t="str">
        <x:v>Yes</x:v>
      </x:c>
      <x:c r="J22" s="18" t="str">
        <x:v>Yes</x:v>
      </x:c>
      <x:c r="K22" s="14" t="str">
        <x:v>Passenger-seat occupant classification system.</x:v>
      </x:c>
      <x:c r="L22" s="14" t="str">
        <x:v>Local safety interface</x:v>
      </x:c>
      <x:c r="M22" s="14" t="str">
        <x:v>Seat mat / restraint-system interface</x:v>
      </x:c>
      <x:c r="N22" s="14" t="str">
        <x:v>Classifies passenger-seat occupancy for restraint deployment logic.</x:v>
      </x:c>
      <x:c r="O22" s="18" t="str">
        <x:v>Critical</x:v>
      </x:c>
      <x:c r="P22" s="14" t="str">
        <x:v>Safety coding/calibration</x:v>
      </x:c>
      <x:c r="Q22" s="18" t="str">
        <x:v>Critical</x:v>
      </x:c>
      <x:c r="R22" s="20" t="n">
        <x:v>0</x:v>
      </x:c>
      <x:c r="S22" s="20" t="str">
        <x:v>Identified</x:v>
      </x:c>
      <x:c r="T22" s="16" t="str"/>
      <x:c r="U22" s="16" t="str"/>
      <x:c r="V22" s="16" t="str">
        <x:v>Treat as safety-critical; network substitution should not be used to bypass restraint safety logic.</x:v>
      </x:c>
      <x:c r="W22" s="14" t="str">
        <x:v>https://bmwrepairguide.com/virtual-library/technical-training/ST401b%20Bus%20System%20Overview.pdf</x:v>
      </x:c>
      <x:c r="X22" s="14" t="str">
        <x:v>Shown on late E9X topology</x:v>
      </x:c>
      <x:c r="Y22" s="18" t="str">
        <x:v>High</x:v>
      </x:c>
    </x:row>
    <x:row r="23" ht="42" customHeight="1">
      <x:c r="A23" s="14" t="str">
        <x:v>SAFE-MRS5</x:v>
      </x:c>
      <x:c r="B23" s="14" t="str">
        <x:v>MRS5</x:v>
      </x:c>
      <x:c r="C23" s="14" t="str">
        <x:v>Multiple Restraint System 5</x:v>
      </x:c>
      <x:c r="D23" s="18" t="str">
        <x:v>1</x:v>
      </x:c>
      <x:c r="E23" s="14" t="str">
        <x:v>Safety ECU</x:v>
      </x:c>
      <x:c r="F23" s="14" t="str">
        <x:v>Restraints</x:v>
      </x:c>
      <x:c r="G23" s="18" t="str">
        <x:v>Yes</x:v>
      </x:c>
      <x:c r="H23" s="18" t="str">
        <x:v>Yes</x:v>
      </x:c>
      <x:c r="I23" s="18" t="str">
        <x:v>Yes</x:v>
      </x:c>
      <x:c r="J23" s="18" t="str">
        <x:v>No</x:v>
      </x:c>
      <x:c r="K23" s="14" t="str">
        <x:v>Used on non-E93 E9X variants in BMW topology; exact generation varies by production.</x:v>
      </x:c>
      <x:c r="L23" s="14" t="str">
        <x:v>K-CAN</x:v>
      </x:c>
      <x:c r="M23" s="14" t="str">
        <x:v>Crash sensors / squibs / OC3 / hardwired restraint I/O</x:v>
      </x:c>
      <x:c r="N23" s="14" t="str">
        <x:v>Airbag and restraint-system crash detection/actuation.</x:v>
      </x:c>
      <x:c r="O23" s="18" t="str">
        <x:v>Critical</x:v>
      </x:c>
      <x:c r="P23" s="14" t="str">
        <x:v>Safety coding / VIN</x:v>
      </x:c>
      <x:c r="Q23" s="18" t="str">
        <x:v>Critical</x:v>
      </x:c>
      <x:c r="R23" s="20" t="n">
        <x:v>0</x:v>
      </x:c>
      <x:c r="S23" s="20" t="str">
        <x:v>Identified</x:v>
      </x:c>
      <x:c r="T23" s="16" t="str"/>
      <x:c r="U23" s="16" t="str"/>
      <x:c r="V23" s="16" t="str">
        <x:v>Not an early full-replacement target; preserve OEM safety system until exhaustive validation exists.</x:v>
      </x:c>
      <x:c r="W23" s="14" t="str">
        <x:v>https://bmwrepairguide.com/virtual-library/technical-training/ST401b%20Bus%20System%20Overview.pdf</x:v>
      </x:c>
      <x:c r="X23" s="14" t="str">
        <x:v>Late E90/E91/E92 bus overview</x:v>
      </x:c>
      <x:c r="Y23" s="18" t="str">
        <x:v>High</x:v>
      </x:c>
    </x:row>
    <x:row r="24" ht="42" customHeight="1">
      <x:c r="A24" s="14" t="str">
        <x:v>SAFE-ACSM</x:v>
      </x:c>
      <x:c r="B24" s="14" t="str">
        <x:v>ACSM</x:v>
      </x:c>
      <x:c r="C24" s="14" t="str">
        <x:v>Advanced Crash Safety Module</x:v>
      </x:c>
      <x:c r="D24" s="18" t="str">
        <x:v>1</x:v>
      </x:c>
      <x:c r="E24" s="14" t="str">
        <x:v>Safety ECU</x:v>
      </x:c>
      <x:c r="F24" s="14" t="str">
        <x:v>Restraints</x:v>
      </x:c>
      <x:c r="G24" s="18" t="str">
        <x:v>No</x:v>
      </x:c>
      <x:c r="H24" s="18" t="str">
        <x:v>No</x:v>
      </x:c>
      <x:c r="I24" s="18" t="str">
        <x:v>No</x:v>
      </x:c>
      <x:c r="J24" s="18" t="str">
        <x:v>Yes</x:v>
      </x:c>
      <x:c r="K24" s="14" t="str">
        <x:v>E93-specific crash safety architecture in BMW training material.</x:v>
      </x:c>
      <x:c r="L24" s="14" t="str">
        <x:v>K-CAN</x:v>
      </x:c>
      <x:c r="M24" s="14" t="str">
        <x:v>K-Bus to ROC; crash sensors / squibs / OC3</x:v>
      </x:c>
      <x:c r="N24" s="14" t="str">
        <x:v>Crash detection, restraint coordination and rollover detection for E93.</x:v>
      </x:c>
      <x:c r="O24" s="18" t="str">
        <x:v>Critical</x:v>
      </x:c>
      <x:c r="P24" s="14" t="str">
        <x:v>Safety coding / VIN</x:v>
      </x:c>
      <x:c r="Q24" s="18" t="str">
        <x:v>Critical</x:v>
      </x:c>
      <x:c r="R24" s="20" t="n">
        <x:v>0</x:v>
      </x:c>
      <x:c r="S24" s="20" t="str">
        <x:v>Identified</x:v>
      </x:c>
      <x:c r="T24" s="16" t="str"/>
      <x:c r="U24" s="16" t="str"/>
      <x:c r="V24" s="16" t="str">
        <x:v>Keep OEM during early E9XSim development.</x:v>
      </x:c>
      <x:c r="W24" s="14" t="str">
        <x:v>https://bmwrepairguide.com/virtual-library/technical-training/ST714-E93-Complete-Vehicle.pdf</x:v>
      </x:c>
      <x:c r="X24" s="14" t="str">
        <x:v>BMW E93 training: ACSM + ROC architecture</x:v>
      </x:c>
      <x:c r="Y24" s="18" t="str">
        <x:v>High</x:v>
      </x:c>
    </x:row>
    <x:row r="25" ht="42" customHeight="1">
      <x:c r="A25" s="14" t="str">
        <x:v>SAFE-ROC</x:v>
      </x:c>
      <x:c r="B25" s="14" t="str">
        <x:v>ROC</x:v>
      </x:c>
      <x:c r="C25" s="14" t="str">
        <x:v>Rollover Controller</x:v>
      </x:c>
      <x:c r="D25" s="18" t="str">
        <x:v>1</x:v>
      </x:c>
      <x:c r="E25" s="14" t="str">
        <x:v>Safety ECU</x:v>
      </x:c>
      <x:c r="F25" s="14" t="str">
        <x:v>Restraints / rollover</x:v>
      </x:c>
      <x:c r="G25" s="18" t="str">
        <x:v>No</x:v>
      </x:c>
      <x:c r="H25" s="18" t="str">
        <x:v>No</x:v>
      </x:c>
      <x:c r="I25" s="18" t="str">
        <x:v>No</x:v>
      </x:c>
      <x:c r="J25" s="18" t="str">
        <x:v>Yes</x:v>
      </x:c>
      <x:c r="K25" s="14" t="str">
        <x:v>E93 only.</x:v>
      </x:c>
      <x:c r="L25" s="14" t="str">
        <x:v>K-Bus</x:v>
      </x:c>
      <x:c r="M25" s="14" t="str">
        <x:v>ACSM link; rollover-protection actuators</x:v>
      </x:c>
      <x:c r="N25" s="14" t="str">
        <x:v>Activates E93 rollover protection system when commanded by ACSM.</x:v>
      </x:c>
      <x:c r="O25" s="18" t="str">
        <x:v>Critical</x:v>
      </x:c>
      <x:c r="P25" s="14" t="str">
        <x:v>Safety coding</x:v>
      </x:c>
      <x:c r="Q25" s="18" t="str">
        <x:v>Critical</x:v>
      </x:c>
      <x:c r="R25" s="20" t="n">
        <x:v>0</x:v>
      </x:c>
      <x:c r="S25" s="20" t="str">
        <x:v>Identified</x:v>
      </x:c>
      <x:c r="T25" s="16" t="str"/>
      <x:c r="U25" s="16" t="str"/>
      <x:c r="V25" s="16" t="str">
        <x:v>Safety-critical actuator controller; OEM preservation strongly preferred.</x:v>
      </x:c>
      <x:c r="W25" s="14" t="str">
        <x:v>https://bmwrepairguide.com/virtual-library/technical-training/ST714-E93-Complete-Vehicle.pdf</x:v>
      </x:c>
      <x:c r="X25" s="14" t="str">
        <x:v>BMW E93 training explicitly defines ROC role</x:v>
      </x:c>
      <x:c r="Y25" s="18" t="str">
        <x:v>High</x:v>
      </x:c>
    </x:row>
    <x:row r="26" ht="42" customHeight="1">
      <x:c r="A26" s="14" t="str">
        <x:v>BODY-CTM</x:v>
      </x:c>
      <x:c r="B26" s="14" t="str">
        <x:v>CTM</x:v>
      </x:c>
      <x:c r="C26" s="14" t="str">
        <x:v>Convertible Top Module</x:v>
      </x:c>
      <x:c r="D26" s="18" t="str">
        <x:v>1</x:v>
      </x:c>
      <x:c r="E26" s="14" t="str">
        <x:v>ECU</x:v>
      </x:c>
      <x:c r="F26" s="14" t="str">
        <x:v>Convertible roof</x:v>
      </x:c>
      <x:c r="G26" s="18" t="str">
        <x:v>No</x:v>
      </x:c>
      <x:c r="H26" s="18" t="str">
        <x:v>No</x:v>
      </x:c>
      <x:c r="I26" s="18" t="str">
        <x:v>No</x:v>
      </x:c>
      <x:c r="J26" s="18" t="str">
        <x:v>Yes</x:v>
      </x:c>
      <x:c r="K26" s="14" t="str">
        <x:v>E93 only.</x:v>
      </x:c>
      <x:c r="L26" s="14" t="str">
        <x:v>K-CAN</x:v>
      </x:c>
      <x:c r="M26" s="14" t="str">
        <x:v>Hardwired roof sensors/motors/hydraulics</x:v>
      </x:c>
      <x:c r="N26" s="14" t="str">
        <x:v>Coordinates retractable hardtop operation and related interlocks.</x:v>
      </x:c>
      <x:c r="O26" s="18" t="str">
        <x:v>High</x:v>
      </x:c>
      <x:c r="P26" s="14" t="str">
        <x:v>Coding</x:v>
      </x:c>
      <x:c r="Q26" s="18" t="str">
        <x:v>Very High</x:v>
      </x:c>
      <x:c r="R26" s="20" t="n">
        <x:v>0</x:v>
      </x:c>
      <x:c r="S26" s="20" t="str">
        <x:v>Identified</x:v>
      </x:c>
      <x:c r="T26" s="16" t="str"/>
      <x:c r="U26" s="16" t="str"/>
      <x:c r="V26" s="16" t="str">
        <x:v>Large state machine with many safety interlocks and high-current actuator dependencies.</x:v>
      </x:c>
      <x:c r="W26" s="14" t="str">
        <x:v>https://www.scribd.com/document/672698702/System-Overview-of-Junction-Box-Electronics-E90-E91-E92-E93</x:v>
      </x:c>
      <x:c r="X26" s="14" t="str">
        <x:v>CTM listed on K-CAN for E93</x:v>
      </x:c>
      <x:c r="Y26" s="18" t="str">
        <x:v>High</x:v>
      </x:c>
    </x:row>
    <x:row r="27" ht="42" customHeight="1">
      <x:c r="A27" s="14" t="str">
        <x:v>SEAT-GBFA</x:v>
      </x:c>
      <x:c r="B27" s="14" t="str">
        <x:v>GBFA</x:v>
      </x:c>
      <x:c r="C27" s="14" t="str">
        <x:v>Seat-belt Extender Controller - Driver</x:v>
      </x:c>
      <x:c r="D27" s="18" t="str">
        <x:v>1</x:v>
      </x:c>
      <x:c r="E27" s="14" t="str">
        <x:v>Local ECU / actuator</x:v>
      </x:c>
      <x:c r="F27" s="14" t="str">
        <x:v>Seat belts</x:v>
      </x:c>
      <x:c r="G27" s="18" t="str">
        <x:v>No</x:v>
      </x:c>
      <x:c r="H27" s="18" t="str">
        <x:v>No</x:v>
      </x:c>
      <x:c r="I27" s="18" t="str">
        <x:v>Yes</x:v>
      </x:c>
      <x:c r="J27" s="18" t="str">
        <x:v>No</x:v>
      </x:c>
      <x:c r="K27" s="14" t="str">
        <x:v>E92 coupe belt handover/extender system.</x:v>
      </x:c>
      <x:c r="L27" s="14" t="str">
        <x:v>LIN</x:v>
      </x:c>
      <x:c r="M27" s="14" t="str">
        <x:v>FRM/local connection; belt-extender motor</x:v>
      </x:c>
      <x:c r="N27" s="14" t="str">
        <x:v>Extends/retracts driver's seat-belt handover arm.</x:v>
      </x:c>
      <x:c r="O27" s="18" t="str">
        <x:v>Medium</x:v>
      </x:c>
      <x:c r="P27" s="14" t="str">
        <x:v>Coding/variant</x:v>
      </x:c>
      <x:c r="Q27" s="18" t="str">
        <x:v>Moderate</x:v>
      </x:c>
      <x:c r="R27" s="20" t="n">
        <x:v>0</x:v>
      </x:c>
      <x:c r="S27" s="20" t="str">
        <x:v>Identified</x:v>
      </x:c>
      <x:c r="T27" s="16" t="str"/>
      <x:c r="U27" s="16" t="str"/>
      <x:c r="V27" s="16" t="str">
        <x:v>BMW parts documentation calls this the driver belt-extender controller.</x:v>
      </x:c>
      <x:c r="W27" s="14" t="str">
        <x:v>https://www.scribd.com/document/672698702/System-Overview-of-Junction-Box-Electronics-E90-E91-E92-E93</x:v>
      </x:c>
      <x:c r="X27" s="14" t="str">
        <x:v>E92 seat-belt extender controller on FRM LIN bus</x:v>
      </x:c>
      <x:c r="Y27" s="18" t="str">
        <x:v>High</x:v>
      </x:c>
    </x:row>
    <x:row r="28" ht="42" customHeight="1">
      <x:c r="A28" s="14" t="str">
        <x:v>SEAT-GBBF</x:v>
      </x:c>
      <x:c r="B28" s="14" t="str">
        <x:v>GBBF</x:v>
      </x:c>
      <x:c r="C28" s="14" t="str">
        <x:v>Seat-belt Extender Controller - Passenger</x:v>
      </x:c>
      <x:c r="D28" s="18" t="str">
        <x:v>1</x:v>
      </x:c>
      <x:c r="E28" s="14" t="str">
        <x:v>Local ECU / actuator</x:v>
      </x:c>
      <x:c r="F28" s="14" t="str">
        <x:v>Seat belts</x:v>
      </x:c>
      <x:c r="G28" s="18" t="str">
        <x:v>No</x:v>
      </x:c>
      <x:c r="H28" s="18" t="str">
        <x:v>No</x:v>
      </x:c>
      <x:c r="I28" s="18" t="str">
        <x:v>Yes</x:v>
      </x:c>
      <x:c r="J28" s="18" t="str">
        <x:v>No</x:v>
      </x:c>
      <x:c r="K28" s="14" t="str">
        <x:v>E92 coupe belt handover/extender system.</x:v>
      </x:c>
      <x:c r="L28" s="14" t="str">
        <x:v>LIN</x:v>
      </x:c>
      <x:c r="M28" s="14" t="str">
        <x:v>FRM/local connection; belt-extender motor</x:v>
      </x:c>
      <x:c r="N28" s="14" t="str">
        <x:v>Extends/retracts passenger seat-belt handover arm.</x:v>
      </x:c>
      <x:c r="O28" s="18" t="str">
        <x:v>Medium</x:v>
      </x:c>
      <x:c r="P28" s="14" t="str">
        <x:v>Coding/variant</x:v>
      </x:c>
      <x:c r="Q28" s="18" t="str">
        <x:v>Moderate</x:v>
      </x:c>
      <x:c r="R28" s="20" t="n">
        <x:v>0</x:v>
      </x:c>
      <x:c r="S28" s="20" t="str">
        <x:v>Identified</x:v>
      </x:c>
      <x:c r="T28" s="16" t="str"/>
      <x:c r="U28" s="16" t="str"/>
      <x:c r="V28" s="16" t="str">
        <x:v>Can likely share hardware/firmware architecture with GBFA.</x:v>
      </x:c>
      <x:c r="W28" s="14" t="str">
        <x:v>https://www.scribd.com/document/672698702/System-Overview-of-Junction-Box-Electronics-E90-E91-E92-E93</x:v>
      </x:c>
      <x:c r="X28" s="14" t="str">
        <x:v>E92 seat-belt extender controller on FRM LIN bus</x:v>
      </x:c>
      <x:c r="Y28" s="18" t="str">
        <x:v>High</x:v>
      </x:c>
    </x:row>
    <x:row r="29" ht="42" customHeight="1">
      <x:c r="A29" s="14" t="str">
        <x:v>BODY-SHD</x:v>
      </x:c>
      <x:c r="B29" s="14" t="str">
        <x:v>SHD</x:v>
      </x:c>
      <x:c r="C29" s="14" t="str">
        <x:v>Slide / Tilt Sunroof / Panorama Roof Electronics</x:v>
      </x:c>
      <x:c r="D29" s="18" t="str">
        <x:v>1</x:v>
      </x:c>
      <x:c r="E29" s="14" t="str">
        <x:v>ECU / actuator</x:v>
      </x:c>
      <x:c r="F29" s="14" t="str">
        <x:v>Roof</x:v>
      </x:c>
      <x:c r="G29" s="18" t="str">
        <x:v>Optional</x:v>
      </x:c>
      <x:c r="H29" s="18" t="str">
        <x:v>Yes</x:v>
      </x:c>
      <x:c r="I29" s="18" t="str">
        <x:v>Optional</x:v>
      </x:c>
      <x:c r="J29" s="18" t="str">
        <x:v>No</x:v>
      </x:c>
      <x:c r="K29" s="14" t="str">
        <x:v>E91 panorama roof specifically identified; other body styles have sunroof variants.</x:v>
      </x:c>
      <x:c r="L29" s="14" t="str">
        <x:v>K-CAN / local roof interface</x:v>
      </x:c>
      <x:c r="M29" s="14" t="str">
        <x:v>Roof motor/switch/sensors</x:v>
      </x:c>
      <x:c r="N29" s="14" t="str">
        <x:v>Controls sunroof/panorama-roof motion and anti-trap behavior.</x:v>
      </x:c>
      <x:c r="O29" s="18" t="str">
        <x:v>Medium</x:v>
      </x:c>
      <x:c r="P29" s="14" t="str">
        <x:v>Coding</x:v>
      </x:c>
      <x:c r="Q29" s="18" t="str">
        <x:v>High</x:v>
      </x:c>
      <x:c r="R29" s="20" t="n">
        <x:v>0</x:v>
      </x:c>
      <x:c r="S29" s="20" t="str">
        <x:v>Identified</x:v>
      </x:c>
      <x:c r="T29" s="16" t="str"/>
      <x:c r="U29" s="16" t="str"/>
      <x:c r="V29" s="16" t="str">
        <x:v>Body-style specific; exact architecture should be verified against VIN wiring diagram.</x:v>
      </x:c>
      <x:c r="W29" s="14" t="str">
        <x:v>https://www.scribd.com/document/672698702/System-Overview-of-Junction-Box-Electronics-E90-E91-E92-E93</x:v>
      </x:c>
      <x:c r="X29" s="14" t="str">
        <x:v>SHD / E91 panorama glass roof listed in JBE overview</x:v>
      </x:c>
      <x:c r="Y29" s="18" t="str">
        <x:v>Medium</x:v>
      </x:c>
    </x:row>
    <x:row r="30" ht="42" customHeight="1">
      <x:c r="A30" s="14" t="str">
        <x:v>BODY-AHM</x:v>
      </x:c>
      <x:c r="B30" s="14" t="str">
        <x:v>AHM</x:v>
      </x:c>
      <x:c r="C30" s="14" t="str">
        <x:v>Trailer Module</x:v>
      </x:c>
      <x:c r="D30" s="18" t="str">
        <x:v>1</x:v>
      </x:c>
      <x:c r="E30" s="14" t="str">
        <x:v>ECU</x:v>
      </x:c>
      <x:c r="F30" s="14" t="str">
        <x:v>Body / trailer</x:v>
      </x:c>
      <x:c r="G30" s="18" t="str">
        <x:v>Optional</x:v>
      </x:c>
      <x:c r="H30" s="18" t="str">
        <x:v>Optional</x:v>
      </x:c>
      <x:c r="I30" s="18" t="str">
        <x:v>Optional</x:v>
      </x:c>
      <x:c r="J30" s="18" t="str">
        <x:v>Optional</x:v>
      </x:c>
      <x:c r="K30" s="14" t="str">
        <x:v>Tow package / market dependent.</x:v>
      </x:c>
      <x:c r="L30" s="14" t="str">
        <x:v>K-CAN</x:v>
      </x:c>
      <x:c r="M30" s="14" t="str">
        <x:v>Trailer lighting and detection I/O</x:v>
      </x:c>
      <x:c r="N30" s="14" t="str">
        <x:v>Trailer electrical interface, lamp monitoring and trailer status.</x:v>
      </x:c>
      <x:c r="O30" s="18" t="str">
        <x:v>Medium</x:v>
      </x:c>
      <x:c r="P30" s="14" t="str">
        <x:v>Coding</x:v>
      </x:c>
      <x:c r="Q30" s="18" t="str">
        <x:v>High</x:v>
      </x:c>
      <x:c r="R30" s="20" t="n">
        <x:v>0</x:v>
      </x:c>
      <x:c r="S30" s="20" t="str">
        <x:v>Identified</x:v>
      </x:c>
      <x:c r="T30" s="16" t="str"/>
      <x:c r="U30" s="16" t="str"/>
      <x:c r="V30" s="16" t="str">
        <x:v>Useful optional module for broad E9X compatibility; not relevant to every market.</x:v>
      </x:c>
      <x:c r="W30" s="14" t="str">
        <x:v>https://www.scribd.com/document/672698702/System-Overview-of-Junction-Box-Electronics-E90-E91-E92-E93</x:v>
      </x:c>
      <x:c r="X30" s="14" t="str">
        <x:v>AHM listed on K-CAN</x:v>
      </x:c>
      <x:c r="Y30" s="18" t="str">
        <x:v>High</x:v>
      </x:c>
    </x:row>
    <x:row r="31" ht="42" customHeight="1">
      <x:c r="A31" s="14" t="str">
        <x:v>BODY-FLA</x:v>
      </x:c>
      <x:c r="B31" s="14" t="str">
        <x:v>FLA</x:v>
      </x:c>
      <x:c r="C31" s="14" t="str">
        <x:v>High-Beam Assistant</x:v>
      </x:c>
      <x:c r="D31" s="18" t="str">
        <x:v>1</x:v>
      </x:c>
      <x:c r="E31" s="14" t="str">
        <x:v>Sensor ECU</x:v>
      </x:c>
      <x:c r="F31" s="14" t="str">
        <x:v>Driver assistance</x:v>
      </x:c>
      <x:c r="G31" s="18" t="str">
        <x:v>Optional</x:v>
      </x:c>
      <x:c r="H31" s="18" t="str">
        <x:v>Optional</x:v>
      </x:c>
      <x:c r="I31" s="18" t="str">
        <x:v>Optional</x:v>
      </x:c>
      <x:c r="J31" s="18" t="str">
        <x:v>Optional</x:v>
      </x:c>
      <x:c r="K31" s="14" t="str">
        <x:v>Option dependent; camera/sensor near mirror.</x:v>
      </x:c>
      <x:c r="L31" s="14" t="str">
        <x:v>K-CAN</x:v>
      </x:c>
      <x:c r="M31" s="14" t="str">
        <x:v>Optical camera/sensor input</x:v>
      </x:c>
      <x:c r="N31" s="14" t="str">
        <x:v>Detects traffic/lighting conditions and requests high-beam changes.</x:v>
      </x:c>
      <x:c r="O31" s="18" t="str">
        <x:v>Medium</x:v>
      </x:c>
      <x:c r="P31" s="14" t="str">
        <x:v>Coding</x:v>
      </x:c>
      <x:c r="Q31" s="18" t="str">
        <x:v>High</x:v>
      </x:c>
      <x:c r="R31" s="20" t="n">
        <x:v>0</x:v>
      </x:c>
      <x:c r="S31" s="20" t="str">
        <x:v>Identified</x:v>
      </x:c>
      <x:c r="T31" s="16" t="str"/>
      <x:c r="U31" s="16" t="str"/>
      <x:c r="V31" s="16" t="str">
        <x:v>Vision sensing makes physical functional replacement more involved than message emulation.</x:v>
      </x:c>
      <x:c r="W31" s="14" t="str">
        <x:v>https://www.scribd.com/document/672698702/System-Overview-of-Junction-Box-Electronics-E90-E91-E92-E93</x:v>
      </x:c>
      <x:c r="X31" s="14" t="str">
        <x:v>FLA listed on K-CAN</x:v>
      </x:c>
      <x:c r="Y31" s="18" t="str">
        <x:v>High</x:v>
      </x:c>
    </x:row>
    <x:row r="32" ht="42" customHeight="1">
      <x:c r="A32" s="14" t="str">
        <x:v>PWR-DME</x:v>
      </x:c>
      <x:c r="B32" s="14" t="str">
        <x:v>DME</x:v>
      </x:c>
      <x:c r="C32" s="14" t="str">
        <x:v>Digital Motor Electronics</x:v>
      </x:c>
      <x:c r="D32" s="18" t="str">
        <x:v>1</x:v>
      </x:c>
      <x:c r="E32" s="14" t="str">
        <x:v>Powertrain ECU</x:v>
      </x:c>
      <x:c r="F32" s="14" t="str">
        <x:v>Engine</x:v>
      </x:c>
      <x:c r="G32" s="18" t="str">
        <x:v>Gasoline</x:v>
      </x:c>
      <x:c r="H32" s="18" t="str">
        <x:v>Gasoline</x:v>
      </x:c>
      <x:c r="I32" s="18" t="str">
        <x:v>Gasoline</x:v>
      </x:c>
      <x:c r="J32" s="18" t="str">
        <x:v>Gasoline</x:v>
      </x:c>
      <x:c r="K32" s="14" t="str">
        <x:v>Exact ECU family depends engine (e.g. MSV80/MSD80/MSD81/MEVD17/MSS60).</x:v>
      </x:c>
      <x:c r="L32" s="14" t="str">
        <x:v>PT-CAN</x:v>
      </x:c>
      <x:c r="M32" s="14" t="str">
        <x:v>BSD master on applicable engines; K-Bus protocol/start-auth link to CAS; many analog/digital/driver I/O</x:v>
      </x:c>
      <x:c r="N32" s="14" t="str">
        <x:v>Full gasoline engine management: torque, fueling, ignition, boost/Valvetronic depending engine, diagnostics and power management.</x:v>
      </x:c>
      <x:c r="O32" s="18" t="str">
        <x:v>Critical</x:v>
      </x:c>
      <x:c r="P32" s="14" t="str">
        <x:v>Immobilizer / cryptographic pairing</x:v>
      </x:c>
      <x:c r="Q32" s="18" t="str">
        <x:v>Critical</x:v>
      </x:c>
      <x:c r="R32" s="20" t="n">
        <x:v>0</x:v>
      </x:c>
      <x:c r="S32" s="20" t="str">
        <x:v>Identified</x:v>
      </x:c>
      <x:c r="T32" s="16" t="str"/>
      <x:c r="U32" s="16" t="str"/>
      <x:c r="V32" s="16" t="str">
        <x:v>Core controller. Network identity can be emulated long before full engine-control replacement is realistic.</x:v>
      </x:c>
      <x:c r="W32" s="14" t="str">
        <x:v>https://www.scribd.com/document/672698702/System-Overview-of-Junction-Box-Electronics-E90-E91-E92-E93</x:v>
      </x:c>
      <x:c r="X32" s="14" t="str">
        <x:v>PT-CAN DME + CAS body-bus/start-auth link</x:v>
      </x:c>
      <x:c r="Y32" s="18" t="str">
        <x:v>High</x:v>
      </x:c>
    </x:row>
    <x:row r="33" ht="42" customHeight="1">
      <x:c r="A33" s="14" t="str">
        <x:v>PWR-DDE</x:v>
      </x:c>
      <x:c r="B33" s="14" t="str">
        <x:v>DDE</x:v>
      </x:c>
      <x:c r="C33" s="14" t="str">
        <x:v>Digital Diesel Electronics</x:v>
      </x:c>
      <x:c r="D33" s="18" t="str">
        <x:v>1</x:v>
      </x:c>
      <x:c r="E33" s="14" t="str">
        <x:v>Powertrain ECU</x:v>
      </x:c>
      <x:c r="F33" s="14" t="str">
        <x:v>Engine</x:v>
      </x:c>
      <x:c r="G33" s="18" t="str">
        <x:v>Diesel</x:v>
      </x:c>
      <x:c r="H33" s="18" t="str">
        <x:v>Diesel</x:v>
      </x:c>
      <x:c r="I33" s="18" t="str">
        <x:v>Diesel</x:v>
      </x:c>
      <x:c r="J33" s="18" t="str">
        <x:v>Diesel</x:v>
      </x:c>
      <x:c r="K33" s="14" t="str">
        <x:v>Diesel markets/engines only; exact DDE family varies.</x:v>
      </x:c>
      <x:c r="L33" s="14" t="str">
        <x:v>PT-CAN</x:v>
      </x:c>
      <x:c r="M33" s="14" t="str">
        <x:v>BSD / local emissions and glow-control links; CAS start-auth link</x:v>
      </x:c>
      <x:c r="N33" s="14" t="str">
        <x:v>Diesel engine management, torque control, emissions systems and power management.</x:v>
      </x:c>
      <x:c r="O33" s="18" t="str">
        <x:v>Critical</x:v>
      </x:c>
      <x:c r="P33" s="14" t="str">
        <x:v>Immobilizer / cryptographic pairing</x:v>
      </x:c>
      <x:c r="Q33" s="18" t="str">
        <x:v>Critical</x:v>
      </x:c>
      <x:c r="R33" s="20" t="n">
        <x:v>0</x:v>
      </x:c>
      <x:c r="S33" s="20" t="str">
        <x:v>Identified</x:v>
      </x:c>
      <x:c r="T33" s="16" t="str"/>
      <x:c r="U33" s="16" t="str"/>
      <x:c r="V33" s="16" t="str">
        <x:v>Include for platform completeness; exact emissions nodes vary heavily by engine/market.</x:v>
      </x:c>
      <x:c r="W33" s="14" t="str">
        <x:v>https://www.scribd.com/document/672698702/System-Overview-of-Junction-Box-Electronics-E90-E91-E92-E93</x:v>
      </x:c>
      <x:c r="X33" s="14" t="str">
        <x:v>PT-CAN DDE + CAS body-bus/start-auth link</x:v>
      </x:c>
      <x:c r="Y33" s="18" t="str">
        <x:v>High</x:v>
      </x:c>
    </x:row>
    <x:row r="34" ht="42" customHeight="1">
      <x:c r="A34" s="14" t="str">
        <x:v>PWR-EGS</x:v>
      </x:c>
      <x:c r="B34" s="14" t="str">
        <x:v>EGS</x:v>
      </x:c>
      <x:c r="C34" s="14" t="str">
        <x:v>Electronic Transmission Control</x:v>
      </x:c>
      <x:c r="D34" s="18" t="str">
        <x:v>1</x:v>
      </x:c>
      <x:c r="E34" s="14" t="str">
        <x:v>Powertrain ECU</x:v>
      </x:c>
      <x:c r="F34" s="14" t="str">
        <x:v>Transmission</x:v>
      </x:c>
      <x:c r="G34" s="18" t="str">
        <x:v>Optional</x:v>
      </x:c>
      <x:c r="H34" s="18" t="str">
        <x:v>Optional</x:v>
      </x:c>
      <x:c r="I34" s="18" t="str">
        <x:v>Optional</x:v>
      </x:c>
      <x:c r="J34" s="18" t="str">
        <x:v>Optional</x:v>
      </x:c>
      <x:c r="K34" s="14" t="str">
        <x:v>Automatic transmission cars; M DCT uses DCT-specific controller variant.</x:v>
      </x:c>
      <x:c r="L34" s="14" t="str">
        <x:v>PT-CAN</x:v>
      </x:c>
      <x:c r="M34" s="14" t="str">
        <x:v>Local selector/LIN on some variants; transmission solenoids/sensors</x:v>
      </x:c>
      <x:c r="N34" s="14" t="str">
        <x:v>Controls automatic transmission shift logic, clutch/pressure management and diagnostics.</x:v>
      </x:c>
      <x:c r="O34" s="18" t="str">
        <x:v>Critical</x:v>
      </x:c>
      <x:c r="P34" s="14" t="str">
        <x:v>Coding / immobilizer-adjacent pairing</x:v>
      </x:c>
      <x:c r="Q34" s="18" t="str">
        <x:v>Critical</x:v>
      </x:c>
      <x:c r="R34" s="20" t="n">
        <x:v>0</x:v>
      </x:c>
      <x:c r="S34" s="20" t="str">
        <x:v>Identified</x:v>
      </x:c>
      <x:c r="T34" s="16" t="str"/>
      <x:c r="U34" s="16" t="str"/>
      <x:c r="V34" s="16" t="str">
        <x:v>Manual-transmission reference cars can omit it; automatic support makes this a major later target.</x:v>
      </x:c>
      <x:c r="W34" s="14" t="str">
        <x:v>https://www.scribd.com/document/672698702/System-Overview-of-Junction-Box-Electronics-E90-E91-E92-E93</x:v>
      </x:c>
      <x:c r="X34" s="14" t="str">
        <x:v>EGS listed on PT-CAN</x:v>
      </x:c>
      <x:c r="Y34" s="18" t="str">
        <x:v>High</x:v>
      </x:c>
    </x:row>
    <x:row r="35" ht="42" customHeight="1">
      <x:c r="A35" s="14" t="str">
        <x:v>PWR-DKCGT</x:v>
      </x:c>
      <x:c r="B35" s="14" t="str">
        <x:v>DKG / DKCGT</x:v>
      </x:c>
      <x:c r="C35" s="14" t="str">
        <x:v>M Double-Clutch Transmission Control</x:v>
      </x:c>
      <x:c r="D35" s="18" t="str">
        <x:v>1</x:v>
      </x:c>
      <x:c r="E35" s="14" t="str">
        <x:v>Powertrain ECU</x:v>
      </x:c>
      <x:c r="F35" s="14" t="str">
        <x:v>Transmission</x:v>
      </x:c>
      <x:c r="G35" s="18" t="str">
        <x:v>No</x:v>
      </x:c>
      <x:c r="H35" s="18" t="str">
        <x:v>No</x:v>
      </x:c>
      <x:c r="I35" s="18" t="str">
        <x:v>M3 / 335is</x:v>
      </x:c>
      <x:c r="J35" s="18" t="str">
        <x:v>M3</x:v>
      </x:c>
      <x:c r="K35" s="14" t="str">
        <x:v>M DCT / DKG-equipped variants only.</x:v>
      </x:c>
      <x:c r="L35" s="14" t="str">
        <x:v>PT-CAN; Local-CAN</x:v>
      </x:c>
      <x:c r="M35" s="14" t="str">
        <x:v>GWS; transmission sensors/actuators</x:v>
      </x:c>
      <x:c r="N35" s="14" t="str">
        <x:v>Controls M DCT clutches, shifts and Drivelogic functions.</x:v>
      </x:c>
      <x:c r="O35" s="18" t="str">
        <x:v>Critical</x:v>
      </x:c>
      <x:c r="P35" s="14" t="str">
        <x:v>Coding / drivetrain pairing</x:v>
      </x:c>
      <x:c r="Q35" s="18" t="str">
        <x:v>Critical</x:v>
      </x:c>
      <x:c r="R35" s="20" t="n">
        <x:v>0</x:v>
      </x:c>
      <x:c r="S35" s="20" t="str">
        <x:v>Identified</x:v>
      </x:c>
      <x:c r="T35" s="16" t="str"/>
      <x:c r="U35" s="16" t="str"/>
      <x:c r="V35" s="16" t="str">
        <x:v>M-specific extension of EGS/DCT support; keep as separate row because architecture differs materially.</x:v>
      </x:c>
      <x:c r="W35" s="14" t="str">
        <x:v>https://bmwtechinfo.bmwgroup.com/tech_training_manual/ST709%204th%20Generation%20M3%20Complete%20Vehicle.pdf</x:v>
      </x:c>
      <x:c r="X35" s="14" t="str">
        <x:v>M3 M DCT bus/system training</x:v>
      </x:c>
      <x:c r="Y35" s="18" t="str">
        <x:v>Medium</x:v>
      </x:c>
    </x:row>
    <x:row r="36" ht="42" customHeight="1">
      <x:c r="A36" s="14" t="str">
        <x:v>PWR-GWS</x:v>
      </x:c>
      <x:c r="B36" s="14" t="str">
        <x:v>GWS</x:v>
      </x:c>
      <x:c r="C36" s="14" t="str">
        <x:v>Gear Selector Switch</x:v>
      </x:c>
      <x:c r="D36" s="18" t="str">
        <x:v>1</x:v>
      </x:c>
      <x:c r="E36" s="14" t="str">
        <x:v>Local ECU / input</x:v>
      </x:c>
      <x:c r="F36" s="14" t="str">
        <x:v>Transmission</x:v>
      </x:c>
      <x:c r="G36" s="18" t="str">
        <x:v>No/variant</x:v>
      </x:c>
      <x:c r="H36" s="18" t="str">
        <x:v>No/variant</x:v>
      </x:c>
      <x:c r="I36" s="18" t="str">
        <x:v>DCT/variant</x:v>
      </x:c>
      <x:c r="J36" s="18" t="str">
        <x:v>DCT/variant</x:v>
      </x:c>
      <x:c r="K36" s="14" t="str">
        <x:v>Electronic selector on DCT/appropriate automatic variants.</x:v>
      </x:c>
      <x:c r="L36" s="14" t="str">
        <x:v>LIN / Local-CAN</x:v>
      </x:c>
      <x:c r="M36" s="14" t="str">
        <x:v>EGS/DKG connection</x:v>
      </x:c>
      <x:c r="N36" s="14" t="str">
        <x:v>Reads electronic gear-selector position and transmits driver selection.</x:v>
      </x:c>
      <x:c r="O36" s="18" t="str">
        <x:v>High</x:v>
      </x:c>
      <x:c r="P36" s="14" t="str">
        <x:v>Coding/variant</x:v>
      </x:c>
      <x:c r="Q36" s="18" t="str">
        <x:v>High</x:v>
      </x:c>
      <x:c r="R36" s="20" t="n">
        <x:v>0</x:v>
      </x:c>
      <x:c r="S36" s="20" t="str">
        <x:v>Identified</x:v>
      </x:c>
      <x:c r="T36" s="16" t="str"/>
      <x:c r="U36" s="16" t="str"/>
      <x:c r="V36" s="16" t="str">
        <x:v>Exact bus depends transmission architecture.</x:v>
      </x:c>
      <x:c r="W36" s="14" t="str">
        <x:v>https://www.scribd.com/document/672698702/System-Overview-of-Junction-Box-Electronics-E90-E91-E92-E93</x:v>
      </x:c>
      <x:c r="X36" s="14" t="str">
        <x:v>EGS LIN connection to gear selector; M-DCT uses local architecture</x:v>
      </x:c>
      <x:c r="Y36" s="18" t="str">
        <x:v>Medium</x:v>
      </x:c>
    </x:row>
    <x:row r="37" ht="42" customHeight="1">
      <x:c r="A37" s="14" t="str">
        <x:v>PWR-EKP</x:v>
      </x:c>
      <x:c r="B37" s="14" t="str">
        <x:v>EKP / EKPS / EKPM</x:v>
      </x:c>
      <x:c r="C37" s="14" t="str">
        <x:v>Electric Fuel Pump Control Module</x:v>
      </x:c>
      <x:c r="D37" s="18" t="str">
        <x:v>1</x:v>
      </x:c>
      <x:c r="E37" s="14" t="str">
        <x:v>Powertrain ECU / power driver</x:v>
      </x:c>
      <x:c r="F37" s="14" t="str">
        <x:v>Fuel system</x:v>
      </x:c>
      <x:c r="G37" s="18" t="str">
        <x:v>Yes</x:v>
      </x:c>
      <x:c r="H37" s="18" t="str">
        <x:v>Yes</x:v>
      </x:c>
      <x:c r="I37" s="18" t="str">
        <x:v>Yes</x:v>
      </x:c>
      <x:c r="J37" s="18" t="str">
        <x:v>Yes</x:v>
      </x:c>
      <x:c r="K37" s="14" t="str">
        <x:v>Generation/naming varies; gasoline applications most relevant.</x:v>
      </x:c>
      <x:c r="L37" s="14" t="str">
        <x:v>PT-CAN</x:v>
      </x:c>
      <x:c r="M37" s="14" t="str">
        <x:v>High-current PWM/pump output</x:v>
      </x:c>
      <x:c r="N37" s="14" t="str">
        <x:v>Controls electric fuel-pump delivery based on powertrain demand.</x:v>
      </x:c>
      <x:c r="O37" s="18" t="str">
        <x:v>High</x:v>
      </x:c>
      <x:c r="P37" s="14" t="str">
        <x:v>Coding</x:v>
      </x:c>
      <x:c r="Q37" s="18" t="str">
        <x:v>High</x:v>
      </x:c>
      <x:c r="R37" s="20" t="n">
        <x:v>0</x:v>
      </x:c>
      <x:c r="S37" s="20" t="str">
        <x:v>Identified</x:v>
      </x:c>
      <x:c r="T37" s="16" t="str"/>
      <x:c r="U37" s="16" t="str"/>
      <x:c r="V37" s="16" t="str">
        <x:v>Power electronics are central to full replacement; network emulation alone cannot drive the pump safely.</x:v>
      </x:c>
      <x:c r="W37" s="14" t="str">
        <x:v>https://www.scribd.com/document/672698702/System-Overview-of-Junction-Box-Electronics-E90-E91-E92-E93</x:v>
      </x:c>
      <x:c r="X37" s="14" t="str">
        <x:v>EKPS listed on PT-CAN</x:v>
      </x:c>
      <x:c r="Y37" s="18" t="str">
        <x:v>High</x:v>
      </x:c>
    </x:row>
    <x:row r="38" ht="42" customHeight="1">
      <x:c r="A38" s="14" t="str">
        <x:v>CH-DSC</x:v>
      </x:c>
      <x:c r="B38" s="14" t="str">
        <x:v>DSC</x:v>
      </x:c>
      <x:c r="C38" s="14" t="str">
        <x:v>Dynamic Stability Control</x:v>
      </x:c>
      <x:c r="D38" s="18" t="str">
        <x:v>1</x:v>
      </x:c>
      <x:c r="E38" s="14" t="str">
        <x:v>Chassis / safety ECU</x:v>
      </x:c>
      <x:c r="F38" s="14" t="str">
        <x:v>Brakes &amp; stability</x:v>
      </x:c>
      <x:c r="G38" s="18" t="str">
        <x:v>Yes</x:v>
      </x:c>
      <x:c r="H38" s="18" t="str">
        <x:v>Yes</x:v>
      </x:c>
      <x:c r="I38" s="18" t="str">
        <x:v>Yes</x:v>
      </x:c>
      <x:c r="J38" s="18" t="str">
        <x:v>Yes</x:v>
      </x:c>
      <x:c r="K38" s="14" t="str">
        <x:v>Variant depends engine, drivetrain, M/non-M and options.</x:v>
      </x:c>
      <x:c r="L38" s="14" t="str">
        <x:v>PT-CAN; F-CAN</x:v>
      </x:c>
      <x:c r="M38" s="14" t="str">
        <x:v>Wheel-speed sensors; hydraulic modulator; brake-pressure and chassis sensors</x:v>
      </x:c>
      <x:c r="N38" s="14" t="str">
        <x:v>ABS, traction/stability control, brake interventions and key chassis gateway functions.</x:v>
      </x:c>
      <x:c r="O38" s="18" t="str">
        <x:v>Critical</x:v>
      </x:c>
      <x:c r="P38" s="14" t="str">
        <x:v>Safety coding / calibration</x:v>
      </x:c>
      <x:c r="Q38" s="18" t="str">
        <x:v>Critical</x:v>
      </x:c>
      <x:c r="R38" s="20" t="n">
        <x:v>0</x:v>
      </x:c>
      <x:c r="S38" s="20" t="str">
        <x:v>Identified</x:v>
      </x:c>
      <x:c r="T38" s="16" t="str"/>
      <x:c r="U38" s="16" t="str"/>
      <x:c r="V38" s="16" t="str">
        <x:v>One of the least suitable early full-replacement targets. Essential gateway for SZL/F-CAN information in many functions.</x:v>
      </x:c>
      <x:c r="W38" s="14" t="str">
        <x:v>https://www.scribd.com/document/672698702/System-Overview-of-Junction-Box-Electronics-E90-E91-E92-E93</x:v>
      </x:c>
      <x:c r="X38" s="14" t="str">
        <x:v>Listed on F-CAN and PT-CAN</x:v>
      </x:c>
      <x:c r="Y38" s="18" t="str">
        <x:v>High</x:v>
      </x:c>
    </x:row>
    <x:row r="39" ht="42" customHeight="1">
      <x:c r="A39" s="14" t="str">
        <x:v>CH-DSCSEN</x:v>
      </x:c>
      <x:c r="B39" s="14" t="str">
        <x:v>DSC-SEN</x:v>
      </x:c>
      <x:c r="C39" s="14" t="str">
        <x:v>DSC Sensor Cluster</x:v>
      </x:c>
      <x:c r="D39" s="18" t="str">
        <x:v>1</x:v>
      </x:c>
      <x:c r="E39" s="14" t="str">
        <x:v>Networked sensor</x:v>
      </x:c>
      <x:c r="F39" s="14" t="str">
        <x:v>Chassis sensing</x:v>
      </x:c>
      <x:c r="G39" s="18" t="str">
        <x:v>Yes</x:v>
      </x:c>
      <x:c r="H39" s="18" t="str">
        <x:v>Yes</x:v>
      </x:c>
      <x:c r="I39" s="18" t="str">
        <x:v>Yes</x:v>
      </x:c>
      <x:c r="J39" s="18" t="str">
        <x:v>Yes</x:v>
      </x:c>
      <x:c r="K39" s="14" t="str">
        <x:v>Sensor implementation varies with Active Steering/M chassis configuration.</x:v>
      </x:c>
      <x:c r="L39" s="14" t="str">
        <x:v>F-CAN</x:v>
      </x:c>
      <x:c r="M39" s="14" t="str">
        <x:v>Yaw / lateral acceleration sensing</x:v>
      </x:c>
      <x:c r="N39" s="14" t="str">
        <x:v>Provides vehicle-dynamics sensor information to DSC/Active Steering.</x:v>
      </x:c>
      <x:c r="O39" s="18" t="str">
        <x:v>Critical</x:v>
      </x:c>
      <x:c r="P39" s="14" t="str">
        <x:v>Calibration</x:v>
      </x:c>
      <x:c r="Q39" s="18" t="str">
        <x:v>Very High</x:v>
      </x:c>
      <x:c r="R39" s="20" t="n">
        <x:v>0</x:v>
      </x:c>
      <x:c r="S39" s="20" t="str">
        <x:v>Identified</x:v>
      </x:c>
      <x:c r="T39" s="16" t="str"/>
      <x:c r="U39" s="16" t="str"/>
      <x:c r="V39" s="16" t="str">
        <x:v>Sensor emulation can be useful on a bench, but in-vehicle substitution is safety-critical.</x:v>
      </x:c>
      <x:c r="W39" s="14" t="str">
        <x:v>https://bmwrepairguide.com/sib/610303.pdf</x:v>
      </x:c>
      <x:c r="X39" s="14" t="str">
        <x:v>BMW CAN diagnosis / bus topology</x:v>
      </x:c>
      <x:c r="Y39" s="18" t="str">
        <x:v>High</x:v>
      </x:c>
    </x:row>
    <x:row r="40" ht="42" customHeight="1">
      <x:c r="A40" s="14" t="str">
        <x:v>CH-SZL</x:v>
      </x:c>
      <x:c r="B40" s="14" t="str">
        <x:v>SZL</x:v>
      </x:c>
      <x:c r="C40" s="14" t="str">
        <x:v>Steering Column Switch Cluster</x:v>
      </x:c>
      <x:c r="D40" s="18" t="str">
        <x:v>1</x:v>
      </x:c>
      <x:c r="E40" s="14" t="str">
        <x:v>ECU / input sensor</x:v>
      </x:c>
      <x:c r="F40" s="14" t="str">
        <x:v>Steering / driver inputs</x:v>
      </x:c>
      <x:c r="G40" s="18" t="str">
        <x:v>Yes</x:v>
      </x:c>
      <x:c r="H40" s="18" t="str">
        <x:v>Yes</x:v>
      </x:c>
      <x:c r="I40" s="18" t="str">
        <x:v>Yes</x:v>
      </x:c>
      <x:c r="J40" s="18" t="str">
        <x:v>Yes</x:v>
      </x:c>
      <x:c r="K40" s="14" t="str">
        <x:v>Includes steering-column stalk electronics; steering-angle sensing architecture varies by version.</x:v>
      </x:c>
      <x:c r="L40" s="14" t="str">
        <x:v>F-CAN</x:v>
      </x:c>
      <x:c r="M40" s="14" t="str">
        <x:v>Steering-wheel/stalk inputs; clockspring; direct redundancy links on some options</x:v>
      </x:c>
      <x:c r="N40" s="14" t="str">
        <x:v>Publishes steering angle and steering-column switch inputs.</x:v>
      </x:c>
      <x:c r="O40" s="18" t="str">
        <x:v>High</x:v>
      </x:c>
      <x:c r="P40" s="14" t="str">
        <x:v>Calibration</x:v>
      </x:c>
      <x:c r="Q40" s="18" t="str">
        <x:v>High</x:v>
      </x:c>
      <x:c r="R40" s="20" t="n">
        <x:v>0</x:v>
      </x:c>
      <x:c r="S40" s="20" t="str">
        <x:v>Identified</x:v>
      </x:c>
      <x:c r="T40" s="16" t="str"/>
      <x:c r="U40" s="16" t="str"/>
      <x:c r="V40" s="16" t="str">
        <x:v>Good bench-emulation target; in-vehicle steering-angle substitution has safety implications.</x:v>
      </x:c>
      <x:c r="W40" s="14" t="str">
        <x:v>https://bmwrepairguide.com/sib/610303.pdf</x:v>
      </x:c>
      <x:c r="X40" s="14" t="str">
        <x:v>BMW training lists SZL as F-CAN termination/control unit</x:v>
      </x:c>
      <x:c r="Y40" s="18" t="str">
        <x:v>High</x:v>
      </x:c>
    </x:row>
    <x:row r="41" ht="42" customHeight="1">
      <x:c r="A41" s="14" t="str">
        <x:v>CH-LWS</x:v>
      </x:c>
      <x:c r="B41" s="14" t="str">
        <x:v>LWS</x:v>
      </x:c>
      <x:c r="C41" s="14" t="str">
        <x:v>Steering Angle Sensor / Cumulative Steering Angle Sensor</x:v>
      </x:c>
      <x:c r="D41" s="18" t="str">
        <x:v>1</x:v>
      </x:c>
      <x:c r="E41" s="14" t="str">
        <x:v>Networked sensor</x:v>
      </x:c>
      <x:c r="F41" s="14" t="str">
        <x:v>Steering / chassis sensing</x:v>
      </x:c>
      <x:c r="G41" s="18" t="str">
        <x:v>Variant</x:v>
      </x:c>
      <x:c r="H41" s="18" t="str">
        <x:v>Variant</x:v>
      </x:c>
      <x:c r="I41" s="18" t="str">
        <x:v>Variant</x:v>
      </x:c>
      <x:c r="J41" s="18" t="str">
        <x:v>Variant</x:v>
      </x:c>
      <x:c r="K41" s="14" t="str">
        <x:v>May be integrated with SZL or separate/cumulative sensor depending Active Steering architecture.</x:v>
      </x:c>
      <x:c r="L41" s="14" t="str">
        <x:v>F-CAN</x:v>
      </x:c>
      <x:c r="M41" s="14" t="str">
        <x:v>Mechanical steering-angle interface</x:v>
      </x:c>
      <x:c r="N41" s="14" t="str">
        <x:v>Measures steering angle for DSC/Active Steering.</x:v>
      </x:c>
      <x:c r="O41" s="18" t="str">
        <x:v>Critical</x:v>
      </x:c>
      <x:c r="P41" s="14" t="str">
        <x:v>Calibration</x:v>
      </x:c>
      <x:c r="Q41" s="18" t="str">
        <x:v>Very High</x:v>
      </x:c>
      <x:c r="R41" s="20" t="n">
        <x:v>0</x:v>
      </x:c>
      <x:c r="S41" s="20" t="str">
        <x:v>Identified</x:v>
      </x:c>
      <x:c r="T41" s="16" t="str"/>
      <x:c r="U41" s="16" t="str"/>
      <x:c r="V41" s="16" t="str">
        <x:v>Keep distinct in inventory even where function is physically integrated with SZL.</x:v>
      </x:c>
      <x:c r="W41" s="14" t="str">
        <x:v>https://bmwrepairguide.com/virtual-library/technical-training/ST401b%20Bus%20System%20Overview.pdf</x:v>
      </x:c>
      <x:c r="X41" s="14" t="str">
        <x:v>Shown separately on BMW late-E9X bus charts</x:v>
      </x:c>
      <x:c r="Y41" s="18" t="str">
        <x:v>Medium</x:v>
      </x:c>
    </x:row>
    <x:row r="42" ht="42" customHeight="1">
      <x:c r="A42" s="14" t="str">
        <x:v>CH-AL</x:v>
      </x:c>
      <x:c r="B42" s="14" t="str">
        <x:v>AL / AFS</x:v>
      </x:c>
      <x:c r="C42" s="14" t="str">
        <x:v>Active Steering Control Unit</x:v>
      </x:c>
      <x:c r="D42" s="18" t="str">
        <x:v>1</x:v>
      </x:c>
      <x:c r="E42" s="14" t="str">
        <x:v>Chassis ECU</x:v>
      </x:c>
      <x:c r="F42" s="14" t="str">
        <x:v>Steering</x:v>
      </x:c>
      <x:c r="G42" s="18" t="str">
        <x:v>Optional</x:v>
      </x:c>
      <x:c r="H42" s="18" t="str">
        <x:v>Optional</x:v>
      </x:c>
      <x:c r="I42" s="18" t="str">
        <x:v>Optional</x:v>
      </x:c>
      <x:c r="J42" s="18" t="str">
        <x:v>Optional</x:v>
      </x:c>
      <x:c r="K42" s="14" t="str">
        <x:v>Option 217 Active Steering; nomenclature appears as AL/AFS in documents.</x:v>
      </x:c>
      <x:c r="L42" s="14" t="str">
        <x:v>F-CAN; PT-CAN</x:v>
      </x:c>
      <x:c r="M42" s="14" t="str">
        <x:v>Active-steering motor/gearbox; Servotronic interfaces</x:v>
      </x:c>
      <x:c r="N42" s="14" t="str">
        <x:v>Computes and controls active-steering overlay and related steering assistance functions.</x:v>
      </x:c>
      <x:c r="O42" s="18" t="str">
        <x:v>Critical</x:v>
      </x:c>
      <x:c r="P42" s="14" t="str">
        <x:v>Calibration / coding</x:v>
      </x:c>
      <x:c r="Q42" s="18" t="str">
        <x:v>Critical</x:v>
      </x:c>
      <x:c r="R42" s="20" t="n">
        <x:v>0</x:v>
      </x:c>
      <x:c r="S42" s="20" t="str">
        <x:v>Identified</x:v>
      </x:c>
      <x:c r="T42" s="16" t="str"/>
      <x:c r="U42" s="16" t="str"/>
      <x:c r="V42" s="16" t="str">
        <x:v>Safety-critical closed-loop motion controller.</x:v>
      </x:c>
      <x:c r="W42" s="14" t="str">
        <x:v>https://charm.li/BMW/2009/328i%20Sedan%20%28E90%29%20L6-3.0L%20%28N52K%29/Repair%20and%20Diagnosis/Steering%20and%20Suspension/Steering/Description%20and%20Operation/Active%20Steering/</x:v>
      </x:c>
      <x:c r="X42" s="14" t="str">
        <x:v>BMW Active Steering system description</x:v>
      </x:c>
      <x:c r="Y42" s="18" t="str">
        <x:v>High</x:v>
      </x:c>
    </x:row>
    <x:row r="43" ht="42" customHeight="1">
      <x:c r="A43" s="14" t="str">
        <x:v>CH-LDM</x:v>
      </x:c>
      <x:c r="B43" s="14" t="str">
        <x:v>LDM</x:v>
      </x:c>
      <x:c r="C43" s="14" t="str">
        <x:v>Longitudinal Dynamics Management</x:v>
      </x:c>
      <x:c r="D43" s="18" t="str">
        <x:v>1</x:v>
      </x:c>
      <x:c r="E43" s="14" t="str">
        <x:v>Chassis ECU</x:v>
      </x:c>
      <x:c r="F43" s="14" t="str">
        <x:v>Cruise / dynamics</x:v>
      </x:c>
      <x:c r="G43" s="18" t="str">
        <x:v>Variant</x:v>
      </x:c>
      <x:c r="H43" s="18" t="str">
        <x:v>Variant</x:v>
      </x:c>
      <x:c r="I43" s="18" t="str">
        <x:v>Variant</x:v>
      </x:c>
      <x:c r="J43" s="18" t="str">
        <x:v>Variant</x:v>
      </x:c>
      <x:c r="K43" s="14" t="str">
        <x:v>Some later configurations move cruise/brake-function logic into DSC; fitted with certain ACC/early configurations.</x:v>
      </x:c>
      <x:c r="L43" s="14" t="str">
        <x:v>PT-CAN</x:v>
      </x:c>
      <x:c r="M43" s="14" t="str">
        <x:v>Inputs from DSC/DME/ACC</x:v>
      </x:c>
      <x:c r="N43" s="14" t="str">
        <x:v>Coordinates longitudinal cruise-control requests and braking/torque interventions.</x:v>
      </x:c>
      <x:c r="O43" s="18" t="str">
        <x:v>High</x:v>
      </x:c>
      <x:c r="P43" s="14" t="str">
        <x:v>Coding</x:v>
      </x:c>
      <x:c r="Q43" s="18" t="str">
        <x:v>Very High</x:v>
      </x:c>
      <x:c r="R43" s="20" t="n">
        <x:v>0</x:v>
      </x:c>
      <x:c r="S43" s="20" t="str">
        <x:v>Identified</x:v>
      </x:c>
      <x:c r="T43" s="16" t="str"/>
      <x:c r="U43" s="16" t="str"/>
      <x:c r="V43" s="16" t="str">
        <x:v>Applicability must be VIN/production checked; do not assume every LCI car has a physical LDM.</x:v>
      </x:c>
      <x:c r="W43" s="14" t="str">
        <x:v>https://bmwrepairguide.com/virtual-library/technical-training/ST401b%20Bus%20System%20Overview.pdf</x:v>
      </x:c>
      <x:c r="X43" s="14" t="str">
        <x:v>Shown as option-dependent node in late E9X charts</x:v>
      </x:c>
      <x:c r="Y43" s="18" t="str">
        <x:v>Medium</x:v>
      </x:c>
    </x:row>
    <x:row r="44" ht="42" customHeight="1">
      <x:c r="A44" s="14" t="str">
        <x:v>ADAS-ACC</x:v>
      </x:c>
      <x:c r="B44" s="14" t="str">
        <x:v>ACC / ACC II</x:v>
      </x:c>
      <x:c r="C44" s="14" t="str">
        <x:v>Active Cruise Control</x:v>
      </x:c>
      <x:c r="D44" s="18" t="str">
        <x:v>1</x:v>
      </x:c>
      <x:c r="E44" s="14" t="str">
        <x:v>Driver-assistance ECU / sensor</x:v>
      </x:c>
      <x:c r="F44" s="14" t="str">
        <x:v>Driver assistance</x:v>
      </x:c>
      <x:c r="G44" s="18" t="str">
        <x:v>Optional</x:v>
      </x:c>
      <x:c r="H44" s="18" t="str">
        <x:v>Optional</x:v>
      </x:c>
      <x:c r="I44" s="18" t="str">
        <x:v>Optional</x:v>
      </x:c>
      <x:c r="J44" s="18" t="str">
        <x:v>Optional</x:v>
      </x:c>
      <x:c r="K44" s="14" t="str">
        <x:v>Active Cruise option only; radar hardware/generation differs.</x:v>
      </x:c>
      <x:c r="L44" s="14" t="str">
        <x:v>PT-CAN</x:v>
      </x:c>
      <x:c r="M44" s="14" t="str">
        <x:v>Radar sensor; interaction with LDM/DSC/DME</x:v>
      </x:c>
      <x:c r="N44" s="14" t="str">
        <x:v>Measures forward traffic and requests adaptive-cruise acceleration/deceleration.</x:v>
      </x:c>
      <x:c r="O44" s="18" t="str">
        <x:v>Critical</x:v>
      </x:c>
      <x:c r="P44" s="14" t="str">
        <x:v>Coding / calibration</x:v>
      </x:c>
      <x:c r="Q44" s="18" t="str">
        <x:v>Critical</x:v>
      </x:c>
      <x:c r="R44" s="20" t="n">
        <x:v>0</x:v>
      </x:c>
      <x:c r="S44" s="20" t="str">
        <x:v>Identified</x:v>
      </x:c>
      <x:c r="T44" s="16" t="str"/>
      <x:c r="U44" s="16" t="str"/>
      <x:c r="V44" s="16" t="str">
        <x:v>Radar calibration and brake/torque authority make full replacement a late-stage safety project.</x:v>
      </x:c>
      <x:c r="W44" s="14" t="str">
        <x:v>https://bmwrepairguide.com/virtual-library/technical-training/ST401b%20Bus%20System%20Overview.pdf</x:v>
      </x:c>
      <x:c r="X44" s="14" t="str">
        <x:v>Late E9X bus charts show ACC/ACC II</x:v>
      </x:c>
      <x:c r="Y44" s="18" t="str">
        <x:v>High</x:v>
      </x:c>
    </x:row>
    <x:row r="45" ht="42" customHeight="1">
      <x:c r="A45" s="14" t="str">
        <x:v>PWR-VGSG</x:v>
      </x:c>
      <x:c r="B45" s="14" t="str">
        <x:v>VGSG / VTG</x:v>
      </x:c>
      <x:c r="C45" s="14" t="str">
        <x:v>Transfer Case Control Unit</x:v>
      </x:c>
      <x:c r="D45" s="18" t="str">
        <x:v>1</x:v>
      </x:c>
      <x:c r="E45" s="14" t="str">
        <x:v>Powertrain ECU</x:v>
      </x:c>
      <x:c r="F45" s="14" t="str">
        <x:v>xDrive</x:v>
      </x:c>
      <x:c r="G45" s="18" t="str">
        <x:v>xDrive</x:v>
      </x:c>
      <x:c r="H45" s="18" t="str">
        <x:v>xDrive</x:v>
      </x:c>
      <x:c r="I45" s="18" t="str">
        <x:v>xDrive</x:v>
      </x:c>
      <x:c r="J45" s="18" t="str">
        <x:v>xDrive</x:v>
      </x:c>
      <x:c r="K45" s="14" t="str">
        <x:v>xDrive only; naming may appear as VGSG or VTG/transfer-box electronics.</x:v>
      </x:c>
      <x:c r="L45" s="14" t="str">
        <x:v>PT-CAN</x:v>
      </x:c>
      <x:c r="M45" s="14" t="str">
        <x:v>Transfer-case actuator motor / position sensing</x:v>
      </x:c>
      <x:c r="N45" s="14" t="str">
        <x:v>Controls xDrive transfer-case clutch torque distribution.</x:v>
      </x:c>
      <x:c r="O45" s="18" t="str">
        <x:v>Critical</x:v>
      </x:c>
      <x:c r="P45" s="14" t="str">
        <x:v>Coding / calibration</x:v>
      </x:c>
      <x:c r="Q45" s="18" t="str">
        <x:v>Critical</x:v>
      </x:c>
      <x:c r="R45" s="20" t="n">
        <x:v>0</x:v>
      </x:c>
      <x:c r="S45" s="20" t="str">
        <x:v>Identified</x:v>
      </x:c>
      <x:c r="T45" s="16" t="str"/>
      <x:c r="U45" s="16" t="str"/>
      <x:c r="V45" s="16" t="str">
        <x:v>Important for an xDrive reference platform; actuator control and wear adaptation must be preserved.</x:v>
      </x:c>
      <x:c r="W45" s="14" t="str">
        <x:v>https://www.scribd.com/document/672698702/System-Overview-of-Junction-Box-Electronics-E90-E91-E92-E93</x:v>
      </x:c>
      <x:c r="X45" s="14" t="str">
        <x:v>VTG listed on PT-CAN; E92 late chart shows VGSG</x:v>
      </x:c>
      <x:c r="Y45" s="18" t="str">
        <x:v>High</x:v>
      </x:c>
    </x:row>
    <x:row r="46" ht="42" customHeight="1">
      <x:c r="A46" s="14" t="str">
        <x:v>PWR-QLT</x:v>
      </x:c>
      <x:c r="B46" s="14" t="str">
        <x:v>QLT</x:v>
      </x:c>
      <x:c r="C46" s="14" t="str">
        <x:v>Oil Condition / Quality-Level-Temperature Sensor</x:v>
      </x:c>
      <x:c r="D46" s="18" t="str">
        <x:v>1</x:v>
      </x:c>
      <x:c r="E46" s="14" t="str">
        <x:v>Networked sensor</x:v>
      </x:c>
      <x:c r="F46" s="14" t="str">
        <x:v>Engine sensing</x:v>
      </x:c>
      <x:c r="G46" s="18" t="str">
        <x:v>Variant</x:v>
      </x:c>
      <x:c r="H46" s="18" t="str">
        <x:v>Variant</x:v>
      </x:c>
      <x:c r="I46" s="18" t="str">
        <x:v>Variant</x:v>
      </x:c>
      <x:c r="J46" s="18" t="str">
        <x:v>Variant</x:v>
      </x:c>
      <x:c r="K46" s="14" t="str">
        <x:v>Engine-dependent.</x:v>
      </x:c>
      <x:c r="L46" s="14" t="str">
        <x:v>BSD</x:v>
      </x:c>
      <x:c r="M46" s="14" t="str">
        <x:v>Oil quality/level/temperature sensing</x:v>
      </x:c>
      <x:c r="N46" s="14" t="str">
        <x:v>Reports engine-oil condition/level/temperature information to engine electronics.</x:v>
      </x:c>
      <x:c r="O46" s="18" t="str">
        <x:v>High</x:v>
      </x:c>
      <x:c r="P46" s="14" t="str">
        <x:v>None known</x:v>
      </x:c>
      <x:c r="Q46" s="18" t="str">
        <x:v>Moderate</x:v>
      </x:c>
      <x:c r="R46" s="20" t="n">
        <x:v>0</x:v>
      </x:c>
      <x:c r="S46" s="20" t="str">
        <x:v>Identified</x:v>
      </x:c>
      <x:c r="T46" s="16" t="str"/>
      <x:c r="U46" s="16" t="str"/>
      <x:c r="V46" s="16" t="str">
        <x:v>BSD reverse engineering target; often easier to simulate on bench than reproduce sensor physics.</x:v>
      </x:c>
      <x:c r="W46" s="14" t="str">
        <x:v>https://bmwrepairguide.com/virtual-library/technical-training/ST401b%20Bus%20System%20Overview.pdf</x:v>
      </x:c>
      <x:c r="X46" s="14" t="str">
        <x:v>Shown on BSD side of late E92/E93 topology</x:v>
      </x:c>
      <x:c r="Y46" s="18" t="str">
        <x:v>Medium</x:v>
      </x:c>
    </x:row>
    <x:row r="47" ht="42" customHeight="1">
      <x:c r="A47" s="14" t="str">
        <x:v>PWR-EWP</x:v>
      </x:c>
      <x:c r="B47" s="14" t="str">
        <x:v>EWP</x:v>
      </x:c>
      <x:c r="C47" s="14" t="str">
        <x:v>Electric Coolant Pump Electronics</x:v>
      </x:c>
      <x:c r="D47" s="18" t="str">
        <x:v>1</x:v>
      </x:c>
      <x:c r="E47" s="14" t="str">
        <x:v>Networked actuator</x:v>
      </x:c>
      <x:c r="F47" s="14" t="str">
        <x:v>Engine cooling</x:v>
      </x:c>
      <x:c r="G47" s="18" t="str">
        <x:v>Engine-dependent</x:v>
      </x:c>
      <x:c r="H47" s="18" t="str">
        <x:v>Engine-dependent</x:v>
      </x:c>
      <x:c r="I47" s="18" t="str">
        <x:v>Engine-dependent</x:v>
      </x:c>
      <x:c r="J47" s="18" t="str">
        <x:v>Engine-dependent</x:v>
      </x:c>
      <x:c r="K47" s="14" t="str">
        <x:v>Electric-pump engines only.</x:v>
      </x:c>
      <x:c r="L47" s="14" t="str">
        <x:v>BSD</x:v>
      </x:c>
      <x:c r="M47" s="14" t="str">
        <x:v>High-current electric pump motor</x:v>
      </x:c>
      <x:c r="N47" s="14" t="str">
        <x:v>Controls electric engine coolant pump and exchanges status/command data with DME.</x:v>
      </x:c>
      <x:c r="O47" s="18" t="str">
        <x:v>Critical</x:v>
      </x:c>
      <x:c r="P47" s="14" t="str">
        <x:v>None known</x:v>
      </x:c>
      <x:c r="Q47" s="18" t="str">
        <x:v>Very High</x:v>
      </x:c>
      <x:c r="R47" s="20" t="n">
        <x:v>0</x:v>
      </x:c>
      <x:c r="S47" s="20" t="str">
        <x:v>Identified</x:v>
      </x:c>
      <x:c r="T47" s="16" t="str"/>
      <x:c r="U47" s="16" t="str"/>
      <x:c r="V47" s="16" t="str">
        <x:v>Power-stage reliability and thermal fail-safe behavior are essential for a full replacement.</x:v>
      </x:c>
      <x:c r="W47" s="14" t="str">
        <x:v>https://www.scribd.com/document/672698702/System-Overview-of-Junction-Box-Electronics-E90-E91-E92-E93</x:v>
      </x:c>
      <x:c r="X47" s="14" t="str">
        <x:v>Electric coolant pump listed in JBE/bus system overview</x:v>
      </x:c>
      <x:c r="Y47" s="18" t="str">
        <x:v>High</x:v>
      </x:c>
    </x:row>
    <x:row r="48" ht="42" customHeight="1">
      <x:c r="A48" s="14" t="str">
        <x:v>PWR-IBS</x:v>
      </x:c>
      <x:c r="B48" s="14" t="str">
        <x:v>IBS</x:v>
      </x:c>
      <x:c r="C48" s="14" t="str">
        <x:v>Intelligent Battery Sensor</x:v>
      </x:c>
      <x:c r="D48" s="18" t="str">
        <x:v>1</x:v>
      </x:c>
      <x:c r="E48" s="14" t="str">
        <x:v>Networked sensor</x:v>
      </x:c>
      <x:c r="F48" s="14" t="str">
        <x:v>Power management</x:v>
      </x:c>
      <x:c r="G48" s="18" t="str">
        <x:v>Yes</x:v>
      </x:c>
      <x:c r="H48" s="18" t="str">
        <x:v>Yes</x:v>
      </x:c>
      <x:c r="I48" s="18" t="str">
        <x:v>Yes</x:v>
      </x:c>
      <x:c r="J48" s="18" t="str">
        <x:v>Yes</x:v>
      </x:c>
      <x:c r="K48" s="14" t="str">
        <x:v>Battery negative-terminal sensor.</x:v>
      </x:c>
      <x:c r="L48" s="14" t="str">
        <x:v>BSD</x:v>
      </x:c>
      <x:c r="M48" s="14" t="str">
        <x:v>Current/voltage/temperature sensing</x:v>
      </x:c>
      <x:c r="N48" s="14" t="str">
        <x:v>Measures battery state for DME/DDE power and charging management.</x:v>
      </x:c>
      <x:c r="O48" s="18" t="str">
        <x:v>High</x:v>
      </x:c>
      <x:c r="P48" s="14" t="str">
        <x:v>None known</x:v>
      </x:c>
      <x:c r="Q48" s="18" t="str">
        <x:v>Moderate</x:v>
      </x:c>
      <x:c r="R48" s="20" t="n">
        <x:v>0</x:v>
      </x:c>
      <x:c r="S48" s="20" t="str">
        <x:v>Identified</x:v>
      </x:c>
      <x:c r="T48" s="16" t="str"/>
      <x:c r="U48" s="16" t="str"/>
      <x:c r="V48" s="16" t="str">
        <x:v>Strong BSD protocol reverse-engineering target.</x:v>
      </x:c>
      <x:c r="W48" s="14" t="str">
        <x:v>https://www.scribd.com/document/672698702/System-Overview-of-Junction-Box-Electronics-E90-E91-E92-E93</x:v>
      </x:c>
      <x:c r="X48" s="14" t="str">
        <x:v>IBS listed in bus system overview</x:v>
      </x:c>
      <x:c r="Y48" s="18" t="str">
        <x:v>High</x:v>
      </x:c>
    </x:row>
    <x:row r="49" ht="42" customHeight="1">
      <x:c r="A49" s="14" t="str">
        <x:v>PWR-GEN</x:v>
      </x:c>
      <x:c r="B49" s="14" t="str">
        <x:v>G</x:v>
      </x:c>
      <x:c r="C49" s="14" t="str">
        <x:v>Alternator / Generator Electronics</x:v>
      </x:c>
      <x:c r="D49" s="18" t="str">
        <x:v>1</x:v>
      </x:c>
      <x:c r="E49" s="14" t="str">
        <x:v>Networked actuator</x:v>
      </x:c>
      <x:c r="F49" s="14" t="str">
        <x:v>Power management</x:v>
      </x:c>
      <x:c r="G49" s="18" t="str">
        <x:v>Yes</x:v>
      </x:c>
      <x:c r="H49" s="18" t="str">
        <x:v>Yes</x:v>
      </x:c>
      <x:c r="I49" s="18" t="str">
        <x:v>Yes</x:v>
      </x:c>
      <x:c r="J49" s="18" t="str">
        <x:v>Yes</x:v>
      </x:c>
      <x:c r="K49" s="14" t="str">
        <x:v>Exact regulator/interface varies by engine.</x:v>
      </x:c>
      <x:c r="L49" s="14" t="str">
        <x:v>BSD</x:v>
      </x:c>
      <x:c r="M49" s="14" t="str">
        <x:v>Alternator regulator/power generation</x:v>
      </x:c>
      <x:c r="N49" s="14" t="str">
        <x:v>Receives charging commands and reports generator state to DME/DDE.</x:v>
      </x:c>
      <x:c r="O49" s="18" t="str">
        <x:v>High</x:v>
      </x:c>
      <x:c r="P49" s="14" t="str">
        <x:v>None known</x:v>
      </x:c>
      <x:c r="Q49" s="18" t="str">
        <x:v>High</x:v>
      </x:c>
      <x:c r="R49" s="20" t="n">
        <x:v>0</x:v>
      </x:c>
      <x:c r="S49" s="20" t="str">
        <x:v>Identified</x:v>
      </x:c>
      <x:c r="T49" s="16" t="str"/>
      <x:c r="U49" s="16" t="str"/>
      <x:c r="V49" s="16" t="str">
        <x:v>May be better treated as a smart peripheral than a replaceable ECU.</x:v>
      </x:c>
      <x:c r="W49" s="14" t="str">
        <x:v>https://www.scribd.com/document/672698702/System-Overview-of-Junction-Box-Electronics-E90-E91-E92-E93</x:v>
      </x:c>
      <x:c r="X49" s="14" t="str">
        <x:v>Alternator listed among BSD-connected components</x:v>
      </x:c>
      <x:c r="Y49" s="18" t="str">
        <x:v>Medium</x:v>
      </x:c>
    </x:row>
    <x:row r="50" ht="42" customHeight="1">
      <x:c r="A50" s="14" t="str">
        <x:v>PWR-GLOW</x:v>
      </x:c>
      <x:c r="B50" s="14" t="str">
        <x:v>GSE / Glow</x:v>
      </x:c>
      <x:c r="C50" s="14" t="str">
        <x:v>Combustion Preheating / Glow Control Unit</x:v>
      </x:c>
      <x:c r="D50" s="18" t="str">
        <x:v>1</x:v>
      </x:c>
      <x:c r="E50" s="14" t="str">
        <x:v>Power electronics ECU</x:v>
      </x:c>
      <x:c r="F50" s="14" t="str">
        <x:v>Diesel engine</x:v>
      </x:c>
      <x:c r="G50" s="18" t="str">
        <x:v>Diesel</x:v>
      </x:c>
      <x:c r="H50" s="18" t="str">
        <x:v>Diesel</x:v>
      </x:c>
      <x:c r="I50" s="18" t="str">
        <x:v>Diesel</x:v>
      </x:c>
      <x:c r="J50" s="18" t="str">
        <x:v>Diesel</x:v>
      </x:c>
      <x:c r="K50" s="14" t="str">
        <x:v>Diesel only.</x:v>
      </x:c>
      <x:c r="L50" s="14" t="str">
        <x:v>BSD / DDE local</x:v>
      </x:c>
      <x:c r="M50" s="14" t="str">
        <x:v>High-current glow-plug outputs</x:v>
      </x:c>
      <x:c r="N50" s="14" t="str">
        <x:v>Controls diesel glow plugs under DDE command.</x:v>
      </x:c>
      <x:c r="O50" s="18" t="str">
        <x:v>High</x:v>
      </x:c>
      <x:c r="P50" s="14" t="str">
        <x:v>None known</x:v>
      </x:c>
      <x:c r="Q50" s="18" t="str">
        <x:v>High</x:v>
      </x:c>
      <x:c r="R50" s="20" t="n">
        <x:v>0</x:v>
      </x:c>
      <x:c r="S50" s="20" t="str">
        <x:v>Identified</x:v>
      </x:c>
      <x:c r="T50" s="16" t="str"/>
      <x:c r="U50" s="16" t="str"/>
      <x:c r="V50" s="16" t="str">
        <x:v>High-current thermal power stage; exact protocol depends diesel generation.</x:v>
      </x:c>
      <x:c r="W50" s="14" t="str">
        <x:v>https://www.scribd.com/document/672698702/System-Overview-of-Junction-Box-Electronics-E90-E91-E92-E93</x:v>
      </x:c>
      <x:c r="X50" s="14" t="str">
        <x:v>Combustion preheating control unit listed in bus overview</x:v>
      </x:c>
      <x:c r="Y50" s="18" t="str">
        <x:v>Medium</x:v>
      </x:c>
    </x:row>
    <x:row r="51" ht="42" customHeight="1">
      <x:c r="A51" s="14" t="str">
        <x:v>LIGHT-SMCFA</x:v>
      </x:c>
      <x:c r="B51" s="14" t="str">
        <x:v>SMCFA</x:v>
      </x:c>
      <x:c r="C51" s="14" t="str">
        <x:v>Adaptive Headlight Stepper Motor Controller - Driver</x:v>
      </x:c>
      <x:c r="D51" s="18" t="str">
        <x:v>1</x:v>
      </x:c>
      <x:c r="E51" s="14" t="str">
        <x:v>Local actuator ECU</x:v>
      </x:c>
      <x:c r="F51" s="14" t="str">
        <x:v>Lighting</x:v>
      </x:c>
      <x:c r="G51" s="18" t="str">
        <x:v>Optional</x:v>
      </x:c>
      <x:c r="H51" s="18" t="str">
        <x:v>Optional</x:v>
      </x:c>
      <x:c r="I51" s="18" t="str">
        <x:v>Optional</x:v>
      </x:c>
      <x:c r="J51" s="18" t="str">
        <x:v>Optional</x:v>
      </x:c>
      <x:c r="K51" s="14" t="str">
        <x:v>Adaptive xenon headlights only; exact LCI hardware differs by headlamp family.</x:v>
      </x:c>
      <x:c r="L51" s="14" t="str">
        <x:v>LIN</x:v>
      </x:c>
      <x:c r="M51" s="14" t="str">
        <x:v>FRM master; headlamp stepper motor</x:v>
      </x:c>
      <x:c r="N51" s="14" t="str">
        <x:v>Controls adaptive-headlight aim/steering motor for driver's side.</x:v>
      </x:c>
      <x:c r="O51" s="18" t="str">
        <x:v>Medium</x:v>
      </x:c>
      <x:c r="P51" s="14" t="str">
        <x:v>Coding/initialization</x:v>
      </x:c>
      <x:c r="Q51" s="18" t="str">
        <x:v>High</x:v>
      </x:c>
      <x:c r="R51" s="20" t="n">
        <x:v>0</x:v>
      </x:c>
      <x:c r="S51" s="20" t="str">
        <x:v>Identified</x:v>
      </x:c>
      <x:c r="T51" s="16" t="str"/>
      <x:c r="U51" s="16" t="str"/>
      <x:c r="V51" s="16" t="str">
        <x:v>Small LIN node but physically exposed to harsh environment and motor loads.</x:v>
      </x:c>
      <x:c r="W51" s="14" t="str">
        <x:v>https://www.scribd.com/document/672698702/System-Overview-of-Junction-Box-Electronics-E90-E91-E92-E93</x:v>
      </x:c>
      <x:c r="X51" s="14" t="str">
        <x:v>FRM LIN connection to adaptive-headlight SMC</x:v>
      </x:c>
      <x:c r="Y51" s="18" t="str">
        <x:v>High</x:v>
      </x:c>
    </x:row>
    <x:row r="52" ht="42" customHeight="1">
      <x:c r="A52" s="14" t="str">
        <x:v>LIGHT-SMCBF</x:v>
      </x:c>
      <x:c r="B52" s="14" t="str">
        <x:v>SMCBF</x:v>
      </x:c>
      <x:c r="C52" s="14" t="str">
        <x:v>Adaptive Headlight Stepper Motor Controller - Passenger</x:v>
      </x:c>
      <x:c r="D52" s="18" t="str">
        <x:v>1</x:v>
      </x:c>
      <x:c r="E52" s="14" t="str">
        <x:v>Local actuator ECU</x:v>
      </x:c>
      <x:c r="F52" s="14" t="str">
        <x:v>Lighting</x:v>
      </x:c>
      <x:c r="G52" s="18" t="str">
        <x:v>Optional</x:v>
      </x:c>
      <x:c r="H52" s="18" t="str">
        <x:v>Optional</x:v>
      </x:c>
      <x:c r="I52" s="18" t="str">
        <x:v>Optional</x:v>
      </x:c>
      <x:c r="J52" s="18" t="str">
        <x:v>Optional</x:v>
      </x:c>
      <x:c r="K52" s="14" t="str">
        <x:v>Adaptive xenon headlights only.</x:v>
      </x:c>
      <x:c r="L52" s="14" t="str">
        <x:v>LIN</x:v>
      </x:c>
      <x:c r="M52" s="14" t="str">
        <x:v>FRM master; headlamp stepper motor</x:v>
      </x:c>
      <x:c r="N52" s="14" t="str">
        <x:v>Controls adaptive-headlight aim/steering motor for passenger side.</x:v>
      </x:c>
      <x:c r="O52" s="18" t="str">
        <x:v>Medium</x:v>
      </x:c>
      <x:c r="P52" s="14" t="str">
        <x:v>Coding/initialization</x:v>
      </x:c>
      <x:c r="Q52" s="18" t="str">
        <x:v>High</x:v>
      </x:c>
      <x:c r="R52" s="20" t="n">
        <x:v>0</x:v>
      </x:c>
      <x:c r="S52" s="20" t="str">
        <x:v>Identified</x:v>
      </x:c>
      <x:c r="T52" s="16" t="str"/>
      <x:c r="U52" s="16" t="str"/>
      <x:c r="V52" s="16" t="str">
        <x:v>Likely common replacement design with SMCFA.</x:v>
      </x:c>
      <x:c r="W52" s="14" t="str">
        <x:v>https://www.scribd.com/document/672698702/System-Overview-of-Junction-Box-Electronics-E90-E91-E92-E93</x:v>
      </x:c>
      <x:c r="X52" s="14" t="str">
        <x:v>FRM LIN connection to adaptive-headlight SMC</x:v>
      </x:c>
      <x:c r="Y52" s="18" t="str">
        <x:v>High</x:v>
      </x:c>
    </x:row>
    <x:row r="53" ht="42" customHeight="1">
      <x:c r="A53" s="14" t="str">
        <x:v>INFO-CIC</x:v>
      </x:c>
      <x:c r="B53" s="14" t="str">
        <x:v>CIC</x:v>
      </x:c>
      <x:c r="C53" s="14" t="str">
        <x:v>Car Information Computer</x:v>
      </x:c>
      <x:c r="D53" s="18" t="str">
        <x:v>1</x:v>
      </x:c>
      <x:c r="E53" s="14" t="str">
        <x:v>Infotainment ECU / computer</x:v>
      </x:c>
      <x:c r="F53" s="14" t="str">
        <x:v>Infotainment</x:v>
      </x:c>
      <x:c r="G53" s="18" t="str">
        <x:v>Optional/typical LCI</x:v>
      </x:c>
      <x:c r="H53" s="18" t="str">
        <x:v>Optional/typical LCI</x:v>
      </x:c>
      <x:c r="I53" s="18" t="str">
        <x:v>Optional/typical LCI</x:v>
      </x:c>
      <x:c r="J53" s="18" t="str">
        <x:v>Optional/typical LCI</x:v>
      </x:c>
      <x:c r="K53" s="14" t="str">
        <x:v>Introduced around 9/2008; navigation/iDrive configuration dependent.</x:v>
      </x:c>
      <x:c r="L53" s="14" t="str">
        <x:v>K-CAN; MOST</x:v>
      </x:c>
      <x:c r="M53" s="14" t="str">
        <x:v>LVDS to CID; USB/audio/video; storage; controller inputs</x:v>
      </x:c>
      <x:c r="N53" s="14" t="str">
        <x:v>iDrive head unit, navigation, media, vehicle settings UI and MOST gateway/master functions.</x:v>
      </x:c>
      <x:c r="O53" s="18" t="str">
        <x:v>Medium</x:v>
      </x:c>
      <x:c r="P53" s="14" t="str">
        <x:v>Coding/VIN / FSC content</x:v>
      </x:c>
      <x:c r="Q53" s="18" t="str">
        <x:v>Very High</x:v>
      </x:c>
      <x:c r="R53" s="20" t="n">
        <x:v>0</x:v>
      </x:c>
      <x:c r="S53" s="20" t="str">
        <x:v>Identified</x:v>
      </x:c>
      <x:c r="T53" s="16" t="str"/>
      <x:c r="U53" s="16" t="str"/>
      <x:c r="V53" s="16" t="str">
        <x:v>Primary long-term open-compute replacement candidate; graphical/UI complexity is high but safety authority is limited.</x:v>
      </x:c>
      <x:c r="W53" s="14" t="str">
        <x:v>https://bmwrepairguide.com/virtual-library/technical-training/ST401b%20Bus%20System%20Overview.pdf</x:v>
      </x:c>
      <x:c r="X53" s="14" t="str">
        <x:v>CIC shown on late E9X K-CAN/MOST topology</x:v>
      </x:c>
      <x:c r="Y53" s="18" t="str">
        <x:v>High</x:v>
      </x:c>
    </x:row>
    <x:row r="54" ht="42" customHeight="1">
      <x:c r="A54" s="14" t="str">
        <x:v>INFO-CCC</x:v>
      </x:c>
      <x:c r="B54" s="14" t="str">
        <x:v>CCC</x:v>
      </x:c>
      <x:c r="C54" s="14" t="str">
        <x:v>Car Communication Computer</x:v>
      </x:c>
      <x:c r="D54" s="18" t="str">
        <x:v>1</x:v>
      </x:c>
      <x:c r="E54" s="14" t="str">
        <x:v>Infotainment ECU / computer</x:v>
      </x:c>
      <x:c r="F54" s="14" t="str">
        <x:v>Infotainment</x:v>
      </x:c>
      <x:c r="G54" s="18" t="str">
        <x:v>Variant</x:v>
      </x:c>
      <x:c r="H54" s="18" t="str">
        <x:v>Variant</x:v>
      </x:c>
      <x:c r="I54" s="18" t="str">
        <x:v>Variant</x:v>
      </x:c>
      <x:c r="J54" s="18" t="str">
        <x:v>Variant</x:v>
      </x:c>
      <x:c r="K54" s="14" t="str">
        <x:v>Earlier iDrive generation; still appears in BMW topology as configuration-dependent equipment.</x:v>
      </x:c>
      <x:c r="L54" s="14" t="str">
        <x:v>K-CAN; MOST</x:v>
      </x:c>
      <x:c r="M54" s="14" t="str">
        <x:v>LVDS to CID; audio/video interfaces</x:v>
      </x:c>
      <x:c r="N54" s="14" t="str">
        <x:v>Earlier iDrive/navigation head unit and MOST master/gateway.</x:v>
      </x:c>
      <x:c r="O54" s="18" t="str">
        <x:v>Medium</x:v>
      </x:c>
      <x:c r="P54" s="14" t="str">
        <x:v>Coding/VIN</x:v>
      </x:c>
      <x:c r="Q54" s="18" t="str">
        <x:v>Very High</x:v>
      </x:c>
      <x:c r="R54" s="20" t="n">
        <x:v>0</x:v>
      </x:c>
      <x:c r="S54" s="20" t="str">
        <x:v>Identified</x:v>
      </x:c>
      <x:c r="T54" s="16" t="str"/>
      <x:c r="U54" s="16" t="str"/>
      <x:c r="V54" s="16" t="str">
        <x:v>Useful compatibility target even if a late reference car uses CIC.</x:v>
      </x:c>
      <x:c r="W54" s="14" t="str">
        <x:v>https://www.e92n55.com/wp-content/uploads/2016/08/pdf-bmw-e90-voltage-supply-bus-systems.pdf</x:v>
      </x:c>
      <x:c r="X54" s="14" t="str">
        <x:v>BMW training: CCC/RAD2 can act as MOST master/gateway</x:v>
      </x:c>
      <x:c r="Y54" s="18" t="str">
        <x:v>High</x:v>
      </x:c>
    </x:row>
    <x:row r="55" ht="42" customHeight="1">
      <x:c r="A55" s="14" t="str">
        <x:v>INFO-RAD2</x:v>
      </x:c>
      <x:c r="B55" s="14" t="str">
        <x:v>RAD2</x:v>
      </x:c>
      <x:c r="C55" s="14" t="str">
        <x:v>BMW Professional Radio / Radio 2</x:v>
      </x:c>
      <x:c r="D55" s="18" t="str">
        <x:v>1</x:v>
      </x:c>
      <x:c r="E55" s="14" t="str">
        <x:v>Infotainment ECU</x:v>
      </x:c>
      <x:c r="F55" s="14" t="str">
        <x:v>Infotainment</x:v>
      </x:c>
      <x:c r="G55" s="18" t="str">
        <x:v>Optional</x:v>
      </x:c>
      <x:c r="H55" s="18" t="str">
        <x:v>Optional</x:v>
      </x:c>
      <x:c r="I55" s="18" t="str">
        <x:v>Optional</x:v>
      </x:c>
      <x:c r="J55" s="18" t="str">
        <x:v>Optional</x:v>
      </x:c>
      <x:c r="K55" s="14" t="str">
        <x:v>Non-navigation / radio configuration dependent.</x:v>
      </x:c>
      <x:c r="L55" s="14" t="str">
        <x:v>K-CAN; MOST</x:v>
      </x:c>
      <x:c r="M55" s="14" t="str">
        <x:v>Audio outputs; tuner; display/control interfaces</x:v>
      </x:c>
      <x:c r="N55" s="14" t="str">
        <x:v>Radio/audio head unit and, in some configurations, MOST master/gateway.</x:v>
      </x:c>
      <x:c r="O55" s="18" t="str">
        <x:v>Low</x:v>
      </x:c>
      <x:c r="P55" s="14" t="str">
        <x:v>Coding</x:v>
      </x:c>
      <x:c r="Q55" s="18" t="str">
        <x:v>High</x:v>
      </x:c>
      <x:c r="R55" s="20" t="n">
        <x:v>0</x:v>
      </x:c>
      <x:c r="S55" s="20" t="str">
        <x:v>Identified</x:v>
      </x:c>
      <x:c r="T55" s="16" t="str"/>
      <x:c r="U55" s="16" t="str"/>
      <x:c r="V55" s="16" t="str">
        <x:v>Potentially simpler open replacement than CIC/CCC if targeting basic-radio cars.</x:v>
      </x:c>
      <x:c r="W55" s="14" t="str">
        <x:v>https://www.e92n55.com/wp-content/uploads/2016/08/pdf-bmw-e90-voltage-supply-bus-systems.pdf</x:v>
      </x:c>
      <x:c r="X55" s="14" t="str">
        <x:v>RAD2 listed; BMW training identifies RAD2 as possible MOST master</x:v>
      </x:c>
      <x:c r="Y55" s="18" t="str">
        <x:v>High</x:v>
      </x:c>
    </x:row>
    <x:row r="56" ht="42" customHeight="1">
      <x:c r="A56" s="14" t="str">
        <x:v>INFO-MASK</x:v>
      </x:c>
      <x:c r="B56" s="14" t="str">
        <x:v>M-ASK</x:v>
      </x:c>
      <x:c r="C56" s="14" t="str">
        <x:v>Multi-Audio System Controller</x:v>
      </x:c>
      <x:c r="D56" s="18" t="str">
        <x:v>1</x:v>
      </x:c>
      <x:c r="E56" s="14" t="str">
        <x:v>Infotainment ECU</x:v>
      </x:c>
      <x:c r="F56" s="14" t="str">
        <x:v>Infotainment</x:v>
      </x:c>
      <x:c r="G56" s="18" t="str">
        <x:v>Regional/variant</x:v>
      </x:c>
      <x:c r="H56" s="18" t="str">
        <x:v>Regional/variant</x:v>
      </x:c>
      <x:c r="I56" s="18" t="str">
        <x:v>Regional/variant</x:v>
      </x:c>
      <x:c r="J56" s="18" t="str">
        <x:v>Regional/variant</x:v>
      </x:c>
      <x:c r="K56" s="14" t="str">
        <x:v>Equipment/market dependent; more common on earlier E-series configurations.</x:v>
      </x:c>
      <x:c r="L56" s="14" t="str">
        <x:v>K-CAN; MOST</x:v>
      </x:c>
      <x:c r="M56" s="14" t="str">
        <x:v>Audio/display interfaces</x:v>
      </x:c>
      <x:c r="N56" s="14" t="str">
        <x:v>Mid-level multimedia/radio/navigation controller.</x:v>
      </x:c>
      <x:c r="O56" s="18" t="str">
        <x:v>Low</x:v>
      </x:c>
      <x:c r="P56" s="14" t="str">
        <x:v>Coding</x:v>
      </x:c>
      <x:c r="Q56" s="18" t="str">
        <x:v>High</x:v>
      </x:c>
      <x:c r="R56" s="20" t="n">
        <x:v>0</x:v>
      </x:c>
      <x:c r="S56" s="20" t="str">
        <x:v>Identified</x:v>
      </x:c>
      <x:c r="T56" s="16" t="str"/>
      <x:c r="U56" s="16" t="str"/>
      <x:c r="V56" s="16" t="str">
        <x:v>Included for topology completeness; confirm fitment against a target VIN.</x:v>
      </x:c>
      <x:c r="W56" s="14" t="str">
        <x:v>https://www.scribd.com/document/672698702/System-Overview-of-Junction-Box-Electronics-E90-E91-E92-E93</x:v>
      </x:c>
      <x:c r="X56" s="14" t="str">
        <x:v>Listed on K-CAN and MOST in JBE overview</x:v>
      </x:c>
      <x:c r="Y56" s="18" t="str">
        <x:v>Medium</x:v>
      </x:c>
    </x:row>
    <x:row r="57" ht="42" customHeight="1">
      <x:c r="A57" s="14" t="str">
        <x:v>INFO-CID</x:v>
      </x:c>
      <x:c r="B57" s="14" t="str">
        <x:v>CID</x:v>
      </x:c>
      <x:c r="C57" s="14" t="str">
        <x:v>Central Information Display</x:v>
      </x:c>
      <x:c r="D57" s="18" t="str">
        <x:v>1</x:v>
      </x:c>
      <x:c r="E57" s="14" t="str">
        <x:v>Display ECU</x:v>
      </x:c>
      <x:c r="F57" s="14" t="str">
        <x:v>Infotainment</x:v>
      </x:c>
      <x:c r="G57" s="18" t="str">
        <x:v>Optional</x:v>
      </x:c>
      <x:c r="H57" s="18" t="str">
        <x:v>Optional</x:v>
      </x:c>
      <x:c r="I57" s="18" t="str">
        <x:v>Optional</x:v>
      </x:c>
      <x:c r="J57" s="18" t="str">
        <x:v>Optional</x:v>
      </x:c>
      <x:c r="K57" s="14" t="str">
        <x:v>Present with iDrive/navigation configurations.</x:v>
      </x:c>
      <x:c r="L57" s="14" t="str">
        <x:v>K-CAN / head-unit link</x:v>
      </x:c>
      <x:c r="M57" s="14" t="str">
        <x:v>LVDS/video from CCC/CIC</x:v>
      </x:c>
      <x:c r="N57" s="14" t="str">
        <x:v>Central dashboard display for iDrive, navigation and vehicle information.</x:v>
      </x:c>
      <x:c r="O57" s="18" t="str">
        <x:v>Low</x:v>
      </x:c>
      <x:c r="P57" s="14" t="str">
        <x:v>Coding/variant</x:v>
      </x:c>
      <x:c r="Q57" s="18" t="str">
        <x:v>Moderate</x:v>
      </x:c>
      <x:c r="R57" s="20" t="n">
        <x:v>0</x:v>
      </x:c>
      <x:c r="S57" s="20" t="str">
        <x:v>Identified</x:v>
      </x:c>
      <x:c r="T57" s="16" t="str"/>
      <x:c r="U57" s="16" t="str"/>
      <x:c r="V57" s="16" t="str">
        <x:v>A display-interface adapter may be easier than duplicating the OEM display electronics.</x:v>
      </x:c>
      <x:c r="W57" s="14" t="str">
        <x:v>https://www.scribd.com/document/672698702/System-Overview-of-Junction-Box-Electronics-E90-E91-E92-E93</x:v>
      </x:c>
      <x:c r="X57" s="14" t="str">
        <x:v>CID listed on K-CAN</x:v>
      </x:c>
      <x:c r="Y57" s="18" t="str">
        <x:v>High</x:v>
      </x:c>
    </x:row>
    <x:row r="58" ht="42" customHeight="1">
      <x:c r="A58" s="14" t="str">
        <x:v>INFO-CON</x:v>
      </x:c>
      <x:c r="B58" s="14" t="str">
        <x:v>CON</x:v>
      </x:c>
      <x:c r="C58" s="14" t="str">
        <x:v>iDrive Controller</x:v>
      </x:c>
      <x:c r="D58" s="18" t="str">
        <x:v>1</x:v>
      </x:c>
      <x:c r="E58" s="14" t="str">
        <x:v>Input ECU</x:v>
      </x:c>
      <x:c r="F58" s="14" t="str">
        <x:v>Infotainment</x:v>
      </x:c>
      <x:c r="G58" s="18" t="str">
        <x:v>Optional</x:v>
      </x:c>
      <x:c r="H58" s="18" t="str">
        <x:v>Optional</x:v>
      </x:c>
      <x:c r="I58" s="18" t="str">
        <x:v>Optional</x:v>
      </x:c>
      <x:c r="J58" s="18" t="str">
        <x:v>Optional</x:v>
      </x:c>
      <x:c r="K58" s="14" t="str">
        <x:v>iDrive-equipped cars.</x:v>
      </x:c>
      <x:c r="L58" s="14" t="str">
        <x:v>K-CAN</x:v>
      </x:c>
      <x:c r="M58" s="14" t="str">
        <x:v>Rotary/press/button inputs</x:v>
      </x:c>
      <x:c r="N58" s="14" t="str">
        <x:v>Human-interface controller for iDrive.</x:v>
      </x:c>
      <x:c r="O58" s="18" t="str">
        <x:v>Low</x:v>
      </x:c>
      <x:c r="P58" s="14" t="str">
        <x:v>None known</x:v>
      </x:c>
      <x:c r="Q58" s="18" t="str">
        <x:v>Low</x:v>
      </x:c>
      <x:c r="R58" s="20" t="n">
        <x:v>0</x:v>
      </x:c>
      <x:c r="S58" s="20" t="str">
        <x:v>Identified</x:v>
      </x:c>
      <x:c r="T58" s="16" t="str"/>
      <x:c r="U58" s="16" t="str"/>
      <x:c r="V58" s="16" t="str">
        <x:v>Excellent early E9XSim node to decode/emulate.</x:v>
      </x:c>
      <x:c r="W58" s="14" t="str">
        <x:v>https://www.scribd.com/document/672698702/System-Overview-of-Junction-Box-Electronics-E90-E91-E92-E93</x:v>
      </x:c>
      <x:c r="X58" s="14" t="str">
        <x:v>CON listed on K-CAN</x:v>
      </x:c>
      <x:c r="Y58" s="18" t="str">
        <x:v>High</x:v>
      </x:c>
    </x:row>
    <x:row r="59" ht="42" customHeight="1">
      <x:c r="A59" s="14" t="str">
        <x:v>INFO-CDC</x:v>
      </x:c>
      <x:c r="B59" s="14" t="str">
        <x:v>CDC</x:v>
      </x:c>
      <x:c r="C59" s="14" t="str">
        <x:v>CD Changer</x:v>
      </x:c>
      <x:c r="D59" s="18" t="str">
        <x:v>1</x:v>
      </x:c>
      <x:c r="E59" s="14" t="str">
        <x:v>MOST peripheral</x:v>
      </x:c>
      <x:c r="F59" s="14" t="str">
        <x:v>Infotainment</x:v>
      </x:c>
      <x:c r="G59" s="18" t="str">
        <x:v>Optional</x:v>
      </x:c>
      <x:c r="H59" s="18" t="str">
        <x:v>Optional</x:v>
      </x:c>
      <x:c r="I59" s="18" t="str">
        <x:v>Optional</x:v>
      </x:c>
      <x:c r="J59" s="18" t="str">
        <x:v>Optional</x:v>
      </x:c>
      <x:c r="K59" s="14" t="str">
        <x:v>Optional; often absent on later builds.</x:v>
      </x:c>
      <x:c r="L59" s="14" t="str">
        <x:v>MOST</x:v>
      </x:c>
      <x:c r="M59" s="14" t="str">
        <x:v>Audio/media mechanism</x:v>
      </x:c>
      <x:c r="N59" s="14" t="str">
        <x:v>Multi-disc audio source on MOST ring.</x:v>
      </x:c>
      <x:c r="O59" s="18" t="str">
        <x:v>Low</x:v>
      </x:c>
      <x:c r="P59" s="14" t="str">
        <x:v>Coding</x:v>
      </x:c>
      <x:c r="Q59" s="18" t="str">
        <x:v>Low</x:v>
      </x:c>
      <x:c r="R59" s="20" t="n">
        <x:v>0</x:v>
      </x:c>
      <x:c r="S59" s="20" t="str">
        <x:v>Identified</x:v>
      </x:c>
      <x:c r="T59" s="16" t="str"/>
      <x:c r="U59" s="16" t="str"/>
      <x:c r="V59" s="16" t="str">
        <x:v>Easy candidate for emulation or deletion from a re-created MOST topology.</x:v>
      </x:c>
      <x:c r="W59" s="14" t="str">
        <x:v>https://www.scribd.com/document/672698702/System-Overview-of-Junction-Box-Electronics-E90-E91-E92-E93</x:v>
      </x:c>
      <x:c r="X59" s="14" t="str">
        <x:v>CDC listed on MOST</x:v>
      </x:c>
      <x:c r="Y59" s="18" t="str">
        <x:v>High</x:v>
      </x:c>
    </x:row>
    <x:row r="60" ht="42" customHeight="1">
      <x:c r="A60" s="14" t="str">
        <x:v>INFO-AMPT</x:v>
      </x:c>
      <x:c r="B60" s="14" t="str">
        <x:v>TOP-HIFI / AMPT</x:v>
      </x:c>
      <x:c r="C60" s="14" t="str">
        <x:v>Top HiFi / Logic7 Amplifier</x:v>
      </x:c>
      <x:c r="D60" s="18" t="str">
        <x:v>1</x:v>
      </x:c>
      <x:c r="E60" s="14" t="str">
        <x:v>MOST peripheral / power audio</x:v>
      </x:c>
      <x:c r="F60" s="14" t="str">
        <x:v>Infotainment</x:v>
      </x:c>
      <x:c r="G60" s="18" t="str">
        <x:v>Optional</x:v>
      </x:c>
      <x:c r="H60" s="18" t="str">
        <x:v>Optional</x:v>
      </x:c>
      <x:c r="I60" s="18" t="str">
        <x:v>Optional</x:v>
      </x:c>
      <x:c r="J60" s="18" t="str">
        <x:v>Optional</x:v>
      </x:c>
      <x:c r="K60" s="14" t="str">
        <x:v>Premium audio option.</x:v>
      </x:c>
      <x:c r="L60" s="14" t="str">
        <x:v>MOST</x:v>
      </x:c>
      <x:c r="M60" s="14" t="str">
        <x:v>High-power multichannel speaker outputs</x:v>
      </x:c>
      <x:c r="N60" s="14" t="str">
        <x:v>Digital audio decoding/amplification and vehicle audio output.</x:v>
      </x:c>
      <x:c r="O60" s="18" t="str">
        <x:v>Low</x:v>
      </x:c>
      <x:c r="P60" s="14" t="str">
        <x:v>Coding</x:v>
      </x:c>
      <x:c r="Q60" s="18" t="str">
        <x:v>High</x:v>
      </x:c>
      <x:c r="R60" s="20" t="n">
        <x:v>0</x:v>
      </x:c>
      <x:c r="S60" s="20" t="str">
        <x:v>Identified</x:v>
      </x:c>
      <x:c r="T60" s="16" t="str"/>
      <x:c r="U60" s="16" t="str"/>
      <x:c r="V60" s="16" t="str">
        <x:v>Replacement can decouple MOST emulation from commodity DSP/amplifier hardware.</x:v>
      </x:c>
      <x:c r="W60" s="14" t="str">
        <x:v>https://www.scribd.com/document/672698702/System-Overview-of-Junction-Box-Electronics-E90-E91-E92-E93</x:v>
      </x:c>
      <x:c r="X60" s="14" t="str">
        <x:v>AMPT / Top HiFi listed on MOST</x:v>
      </x:c>
      <x:c r="Y60" s="18" t="str">
        <x:v>High</x:v>
      </x:c>
    </x:row>
    <x:row r="61" ht="42" customHeight="1">
      <x:c r="A61" s="14" t="str">
        <x:v>INFO-COMBOX</x:v>
      </x:c>
      <x:c r="B61" s="14" t="str">
        <x:v>COMBOX</x:v>
      </x:c>
      <x:c r="C61" s="14" t="str">
        <x:v>Combox Media / Telematics Module</x:v>
      </x:c>
      <x:c r="D61" s="18" t="str">
        <x:v>1</x:v>
      </x:c>
      <x:c r="E61" s="14" t="str">
        <x:v>MOST peripheral / telematics ECU</x:v>
      </x:c>
      <x:c r="F61" s="14" t="str">
        <x:v>Infotainment / telematics</x:v>
      </x:c>
      <x:c r="G61" s="18" t="str">
        <x:v>From ~9/10</x:v>
      </x:c>
      <x:c r="H61" s="18" t="str">
        <x:v>From ~9/10</x:v>
      </x:c>
      <x:c r="I61" s="18" t="str">
        <x:v>From ~9/10</x:v>
      </x:c>
      <x:c r="J61" s="18" t="str">
        <x:v>From ~9/10</x:v>
      </x:c>
      <x:c r="K61" s="14" t="str">
        <x:v>Late-LCI replacement/consolidation for earlier telematics/interface-box functions.</x:v>
      </x:c>
      <x:c r="L61" s="14" t="str">
        <x:v>MOST</x:v>
      </x:c>
      <x:c r="M61" s="14" t="str">
        <x:v>USB/Bluetooth/telephony/RF interfaces</x:v>
      </x:c>
      <x:c r="N61" s="14" t="str">
        <x:v>Bluetooth, USB/media integration, telematics-related functions depending version.</x:v>
      </x:c>
      <x:c r="O61" s="18" t="str">
        <x:v>Low</x:v>
      </x:c>
      <x:c r="P61" s="14" t="str">
        <x:v>Coding/VIN</x:v>
      </x:c>
      <x:c r="Q61" s="18" t="str">
        <x:v>Very High</x:v>
      </x:c>
      <x:c r="R61" s="20" t="n">
        <x:v>0</x:v>
      </x:c>
      <x:c r="S61" s="20" t="str">
        <x:v>Identified</x:v>
      </x:c>
      <x:c r="T61" s="16" t="str"/>
      <x:c r="U61" s="16" t="str"/>
      <x:c r="V61" s="16" t="str">
        <x:v>RF/Bluetooth stack and media integration make a software-rich but non-safety-critical replacement target.</x:v>
      </x:c>
      <x:c r="W61" s="14" t="str">
        <x:v>https://bmwrepairguide.com/virtual-library/technical-training/ST401b%20Bus%20System%20Overview.pdf</x:v>
      </x:c>
      <x:c r="X61" s="14" t="str">
        <x:v>BMW late 9/10 charts show Combox</x:v>
      </x:c>
      <x:c r="Y61" s="18" t="str">
        <x:v>High</x:v>
      </x:c>
    </x:row>
    <x:row r="62" ht="42" customHeight="1">
      <x:c r="A62" s="14" t="str">
        <x:v>INFO-TCU</x:v>
      </x:c>
      <x:c r="B62" s="14" t="str">
        <x:v>TCU</x:v>
      </x:c>
      <x:c r="C62" s="14" t="str">
        <x:v>Telematics Control Unit</x:v>
      </x:c>
      <x:c r="D62" s="18" t="str">
        <x:v>1</x:v>
      </x:c>
      <x:c r="E62" s="14" t="str">
        <x:v>MOST peripheral / telematics ECU</x:v>
      </x:c>
      <x:c r="F62" s="14" t="str">
        <x:v>Infotainment / telematics</x:v>
      </x:c>
      <x:c r="G62" s="18" t="str">
        <x:v>Early LCI</x:v>
      </x:c>
      <x:c r="H62" s="18" t="str">
        <x:v>Early LCI</x:v>
      </x:c>
      <x:c r="I62" s="18" t="str">
        <x:v>Early LCI</x:v>
      </x:c>
      <x:c r="J62" s="18" t="str">
        <x:v>Early LCI</x:v>
      </x:c>
      <x:c r="K62" s="14" t="str">
        <x:v>Earlier LCI builds before Combox consolidation; production/option dependent.</x:v>
      </x:c>
      <x:c r="L62" s="14" t="str">
        <x:v>MOST</x:v>
      </x:c>
      <x:c r="M62" s="14" t="str">
        <x:v>Cellular/GPS/telephone interfaces</x:v>
      </x:c>
      <x:c r="N62" s="14" t="str">
        <x:v>Telematics and telephone integration.</x:v>
      </x:c>
      <x:c r="O62" s="18" t="str">
        <x:v>Low</x:v>
      </x:c>
      <x:c r="P62" s="14" t="str">
        <x:v>Coding/VIN</x:v>
      </x:c>
      <x:c r="Q62" s="18" t="str">
        <x:v>Very High</x:v>
      </x:c>
      <x:c r="R62" s="20" t="n">
        <x:v>0</x:v>
      </x:c>
      <x:c r="S62" s="20" t="str">
        <x:v>Identified</x:v>
      </x:c>
      <x:c r="T62" s="16" t="str"/>
      <x:c r="U62" s="16" t="str"/>
      <x:c r="V62" s="16" t="str">
        <x:v>Needed if E9XSim supports pre-Combox LCI configurations.</x:v>
      </x:c>
      <x:c r="W62" s="14" t="str">
        <x:v>https://www.scribd.com/document/672698702/System-Overview-of-Junction-Box-Electronics-E90-E91-E92-E93</x:v>
      </x:c>
      <x:c r="X62" s="14" t="str">
        <x:v>TCU listed on MOST; late chart transitions to Combox</x:v>
      </x:c>
      <x:c r="Y62" s="18" t="str">
        <x:v>High</x:v>
      </x:c>
    </x:row>
    <x:row r="63" ht="42" customHeight="1">
      <x:c r="A63" s="14" t="str">
        <x:v>INFO-SBX</x:v>
      </x:c>
      <x:c r="B63" s="14" t="str">
        <x:v>ULF-SBX-H / SBX High</x:v>
      </x:c>
      <x:c r="C63" s="14" t="str">
        <x:v>Interface Box High</x:v>
      </x:c>
      <x:c r="D63" s="18" t="str">
        <x:v>1</x:v>
      </x:c>
      <x:c r="E63" s="14" t="str">
        <x:v>MOST peripheral</x:v>
      </x:c>
      <x:c r="F63" s="14" t="str">
        <x:v>Infotainment / telephony</x:v>
      </x:c>
      <x:c r="G63" s="18" t="str">
        <x:v>Early LCI</x:v>
      </x:c>
      <x:c r="H63" s="18" t="str">
        <x:v>Early LCI</x:v>
      </x:c>
      <x:c r="I63" s="18" t="str">
        <x:v>Early LCI</x:v>
      </x:c>
      <x:c r="J63" s="18" t="str">
        <x:v>Early LCI</x:v>
      </x:c>
      <x:c r="K63" s="14" t="str">
        <x:v>Pre-Combox interface/telephone architecture; option dependent.</x:v>
      </x:c>
      <x:c r="L63" s="14" t="str">
        <x:v>MOST</x:v>
      </x:c>
      <x:c r="M63" s="14" t="str">
        <x:v>USB/Bluetooth/telephone interfaces</x:v>
      </x:c>
      <x:c r="N63" s="14" t="str">
        <x:v>Hands-free/interface-box functions later consolidated into Combox.</x:v>
      </x:c>
      <x:c r="O63" s="18" t="str">
        <x:v>Low</x:v>
      </x:c>
      <x:c r="P63" s="14" t="str">
        <x:v>Coding</x:v>
      </x:c>
      <x:c r="Q63" s="18" t="str">
        <x:v>High</x:v>
      </x:c>
      <x:c r="R63" s="20" t="n">
        <x:v>0</x:v>
      </x:c>
      <x:c r="S63" s="20" t="str">
        <x:v>Identified</x:v>
      </x:c>
      <x:c r="T63" s="16" t="str"/>
      <x:c r="U63" s="16" t="str"/>
      <x:c r="V63" s="16" t="str">
        <x:v>Potentially superseded in a modernized E9XSim architecture.</x:v>
      </x:c>
      <x:c r="W63" s="14" t="str">
        <x:v>https://www.scribd.com/document/672698702/System-Overview-of-Junction-Box-Electronics-E90-E91-E92-E93</x:v>
      </x:c>
      <x:c r="X63" s="14" t="str">
        <x:v>ULF-SBX-H listed on MOST</x:v>
      </x:c>
      <x:c r="Y63" s="18" t="str">
        <x:v>High</x:v>
      </x:c>
    </x:row>
    <x:row r="64" ht="42" customHeight="1">
      <x:c r="A64" s="14" t="str">
        <x:v>INFO-SDARS</x:v>
      </x:c>
      <x:c r="B64" s="14" t="str">
        <x:v>SDARS</x:v>
      </x:c>
      <x:c r="C64" s="14" t="str">
        <x:v>Satellite Digital Audio Radio Service Tuner</x:v>
      </x:c>
      <x:c r="D64" s="18" t="str">
        <x:v>1</x:v>
      </x:c>
      <x:c r="E64" s="14" t="str">
        <x:v>MOST peripheral</x:v>
      </x:c>
      <x:c r="F64" s="14" t="str">
        <x:v>Infotainment</x:v>
      </x:c>
      <x:c r="G64" s="18" t="str">
        <x:v>Optional</x:v>
      </x:c>
      <x:c r="H64" s="18" t="str">
        <x:v>Optional</x:v>
      </x:c>
      <x:c r="I64" s="18" t="str">
        <x:v>Optional</x:v>
      </x:c>
      <x:c r="J64" s="18" t="str">
        <x:v>Optional</x:v>
      </x:c>
      <x:c r="K64" s="14" t="str">
        <x:v>US satellite-radio option.</x:v>
      </x:c>
      <x:c r="L64" s="14" t="str">
        <x:v>MOST</x:v>
      </x:c>
      <x:c r="M64" s="14" t="str">
        <x:v>Satellite RF antenna</x:v>
      </x:c>
      <x:c r="N64" s="14" t="str">
        <x:v>Satellite-radio reception and audio stream source.</x:v>
      </x:c>
      <x:c r="O64" s="18" t="str">
        <x:v>Low</x:v>
      </x:c>
      <x:c r="P64" s="14" t="str">
        <x:v>Subscription/coding</x:v>
      </x:c>
      <x:c r="Q64" s="18" t="str">
        <x:v>Moderate</x:v>
      </x:c>
      <x:c r="R64" s="20" t="n">
        <x:v>0</x:v>
      </x:c>
      <x:c r="S64" s="20" t="str">
        <x:v>Identified</x:v>
      </x:c>
      <x:c r="T64" s="16" t="str"/>
      <x:c r="U64" s="16" t="str"/>
      <x:c r="V64" s="16" t="str">
        <x:v>May be emulated or omitted if a replacement head unit handles modern media directly.</x:v>
      </x:c>
      <x:c r="W64" s="14" t="str">
        <x:v>https://www.scribd.com/document/672698702/System-Overview-of-Junction-Box-Electronics-E90-E91-E92-E93</x:v>
      </x:c>
      <x:c r="X64" s="14" t="str">
        <x:v>SDARS listed on MOST</x:v>
      </x:c>
      <x:c r="Y64" s="18" t="str">
        <x:v>High</x:v>
      </x:c>
    </x:row>
    <x:row r="65" ht="42" customHeight="1">
      <x:c r="A65" s="14" t="str">
        <x:v>INFO-IBOC</x:v>
      </x:c>
      <x:c r="B65" s="14" t="str">
        <x:v>IBOC</x:v>
      </x:c>
      <x:c r="C65" s="14" t="str">
        <x:v>In-Band On-Channel Digital Radio Tuner</x:v>
      </x:c>
      <x:c r="D65" s="18" t="str">
        <x:v>1</x:v>
      </x:c>
      <x:c r="E65" s="14" t="str">
        <x:v>MOST peripheral</x:v>
      </x:c>
      <x:c r="F65" s="14" t="str">
        <x:v>Infotainment</x:v>
      </x:c>
      <x:c r="G65" s="18" t="str">
        <x:v>Optional</x:v>
      </x:c>
      <x:c r="H65" s="18" t="str">
        <x:v>Optional</x:v>
      </x:c>
      <x:c r="I65" s="18" t="str">
        <x:v>Optional</x:v>
      </x:c>
      <x:c r="J65" s="18" t="str">
        <x:v>Optional</x:v>
      </x:c>
      <x:c r="K65" s="14" t="str">
        <x:v>US HD Radio option / configuration dependent.</x:v>
      </x:c>
      <x:c r="L65" s="14" t="str">
        <x:v>MOST</x:v>
      </x:c>
      <x:c r="M65" s="14" t="str">
        <x:v>Radio RF front end</x:v>
      </x:c>
      <x:c r="N65" s="14" t="str">
        <x:v>Digital terrestrial radio tuner.</x:v>
      </x:c>
      <x:c r="O65" s="18" t="str">
        <x:v>Low</x:v>
      </x:c>
      <x:c r="P65" s="14" t="str">
        <x:v>Coding</x:v>
      </x:c>
      <x:c r="Q65" s="18" t="str">
        <x:v>Moderate</x:v>
      </x:c>
      <x:c r="R65" s="20" t="n">
        <x:v>0</x:v>
      </x:c>
      <x:c r="S65" s="20" t="str">
        <x:v>Identified</x:v>
      </x:c>
      <x:c r="T65" s="16" t="str"/>
      <x:c r="U65" s="16" t="str"/>
      <x:c r="V65" s="16" t="str">
        <x:v>Likely not worth reproducing physically if open head unit provides radio independently.</x:v>
      </x:c>
      <x:c r="W65" s="14" t="str">
        <x:v>https://www.scribd.com/document/672698702/System-Overview-of-Junction-Box-Electronics-E90-E91-E92-E93</x:v>
      </x:c>
      <x:c r="X65" s="14" t="str">
        <x:v>IBOC listed on MOST</x:v>
      </x:c>
      <x:c r="Y65" s="18" t="str">
        <x:v>High</x:v>
      </x:c>
    </x:row>
    <x:row r="66" ht="42" customHeight="1">
      <x:c r="A66" s="14" t="str">
        <x:v>INFO-DAB</x:v>
      </x:c>
      <x:c r="B66" s="14" t="str">
        <x:v>DAB</x:v>
      </x:c>
      <x:c r="C66" s="14" t="str">
        <x:v>Digital Audio Broadcasting Tuner</x:v>
      </x:c>
      <x:c r="D66" s="18" t="str">
        <x:v>1</x:v>
      </x:c>
      <x:c r="E66" s="14" t="str">
        <x:v>MOST peripheral</x:v>
      </x:c>
      <x:c r="F66" s="14" t="str">
        <x:v>Infotainment</x:v>
      </x:c>
      <x:c r="G66" s="18" t="str">
        <x:v>Regional</x:v>
      </x:c>
      <x:c r="H66" s="18" t="str">
        <x:v>Regional</x:v>
      </x:c>
      <x:c r="I66" s="18" t="str">
        <x:v>Regional</x:v>
      </x:c>
      <x:c r="J66" s="18" t="str">
        <x:v>Regional</x:v>
      </x:c>
      <x:c r="K66" s="14" t="str">
        <x:v>Non-US market option.</x:v>
      </x:c>
      <x:c r="L66" s="14" t="str">
        <x:v>MOST</x:v>
      </x:c>
      <x:c r="M66" s="14" t="str">
        <x:v>DAB RF antenna</x:v>
      </x:c>
      <x:c r="N66" s="14" t="str">
        <x:v>DAB digital-radio reception.</x:v>
      </x:c>
      <x:c r="O66" s="18" t="str">
        <x:v>Low</x:v>
      </x:c>
      <x:c r="P66" s="14" t="str">
        <x:v>Coding</x:v>
      </x:c>
      <x:c r="Q66" s="18" t="str">
        <x:v>Moderate</x:v>
      </x:c>
      <x:c r="R66" s="20" t="n">
        <x:v>0</x:v>
      </x:c>
      <x:c r="S66" s="20" t="str">
        <x:v>Identified</x:v>
      </x:c>
      <x:c r="T66" s="16" t="str"/>
      <x:c r="U66" s="16" t="str"/>
      <x:c r="V66" s="16" t="str">
        <x:v>Regional compatibility item.</x:v>
      </x:c>
      <x:c r="W66" s="14" t="str">
        <x:v>https://www.scribd.com/document/672698702/System-Overview-of-Junction-Box-Electronics-E90-E91-E92-E93</x:v>
      </x:c>
      <x:c r="X66" s="14" t="str">
        <x:v>DAB listed on MOST</x:v>
      </x:c>
      <x:c r="Y66" s="18" t="str">
        <x:v>High</x:v>
      </x:c>
    </x:row>
    <x:row r="67" ht="42" customHeight="1">
      <x:c r="A67" s="14" t="str">
        <x:v>INFO-VM</x:v>
      </x:c>
      <x:c r="B67" s="14" t="str">
        <x:v>VM</x:v>
      </x:c>
      <x:c r="C67" s="14" t="str">
        <x:v>Video Module</x:v>
      </x:c>
      <x:c r="D67" s="18" t="str">
        <x:v>1</x:v>
      </x:c>
      <x:c r="E67" s="14" t="str">
        <x:v>MOST peripheral</x:v>
      </x:c>
      <x:c r="F67" s="14" t="str">
        <x:v>Infotainment</x:v>
      </x:c>
      <x:c r="G67" s="18" t="str">
        <x:v>Regional/variant</x:v>
      </x:c>
      <x:c r="H67" s="18" t="str">
        <x:v>Regional/variant</x:v>
      </x:c>
      <x:c r="I67" s="18" t="str">
        <x:v>Regional/variant</x:v>
      </x:c>
      <x:c r="J67" s="18" t="str">
        <x:v>Regional/variant</x:v>
      </x:c>
      <x:c r="K67" s="14" t="str">
        <x:v>Market/equipment dependent.</x:v>
      </x:c>
      <x:c r="L67" s="14" t="str">
        <x:v>MOST</x:v>
      </x:c>
      <x:c r="M67" s="14" t="str">
        <x:v>Video/tuner interfaces</x:v>
      </x:c>
      <x:c r="N67" s="14" t="str">
        <x:v>Video/TV-related media functions.</x:v>
      </x:c>
      <x:c r="O67" s="18" t="str">
        <x:v>Low</x:v>
      </x:c>
      <x:c r="P67" s="14" t="str">
        <x:v>Coding</x:v>
      </x:c>
      <x:c r="Q67" s="18" t="str">
        <x:v>High</x:v>
      </x:c>
      <x:c r="R67" s="20" t="n">
        <x:v>0</x:v>
      </x:c>
      <x:c r="S67" s="20" t="str">
        <x:v>Identified</x:v>
      </x:c>
      <x:c r="T67" s="16" t="str"/>
      <x:c r="U67" s="16" t="str"/>
      <x:c r="V67" s="16" t="str">
        <x:v>Compatibility-only target for uncommon configurations.</x:v>
      </x:c>
      <x:c r="W67" s="14" t="str">
        <x:v>https://www.scribd.com/document/672698702/System-Overview-of-Junction-Box-Electronics-E90-E91-E92-E93</x:v>
      </x:c>
      <x:c r="X67" s="14" t="str">
        <x:v>VM listed on MOST</x:v>
      </x:c>
      <x:c r="Y67" s="18" t="str">
        <x:v>Medium</x:v>
      </x:c>
    </x:row>
    <x:row r="68" ht="42" customHeight="1">
      <x:c r="A68" s="14" t="str">
        <x:v>INFO-CNAV</x:v>
      </x:c>
      <x:c r="B68" s="14" t="str">
        <x:v>CNAV / JNAV / KNAV</x:v>
      </x:c>
      <x:c r="C68" s="14" t="str">
        <x:v>Regional Navigation Module Variants</x:v>
      </x:c>
      <x:c r="D68" s="18" t="str">
        <x:v>1</x:v>
      </x:c>
      <x:c r="E68" s="14" t="str">
        <x:v>MOST peripheral</x:v>
      </x:c>
      <x:c r="F68" s="14" t="str">
        <x:v>Infotainment</x:v>
      </x:c>
      <x:c r="G68" s="18" t="str">
        <x:v>Regional</x:v>
      </x:c>
      <x:c r="H68" s="18" t="str">
        <x:v>Regional</x:v>
      </x:c>
      <x:c r="I68" s="18" t="str">
        <x:v>Regional</x:v>
      </x:c>
      <x:c r="J68" s="18" t="str">
        <x:v>Regional</x:v>
      </x:c>
      <x:c r="K68" s="14" t="str">
        <x:v>China/Japan/Korea navigation variants listed in BMW system overview.</x:v>
      </x:c>
      <x:c r="L68" s="14" t="str">
        <x:v>MOST</x:v>
      </x:c>
      <x:c r="M68" s="14" t="str">
        <x:v>Regional navigation/media interfaces</x:v>
      </x:c>
      <x:c r="N68" s="14" t="str">
        <x:v>Market-specific navigation functions.</x:v>
      </x:c>
      <x:c r="O68" s="18" t="str">
        <x:v>Low</x:v>
      </x:c>
      <x:c r="P68" s="14" t="str">
        <x:v>Coding/VIN</x:v>
      </x:c>
      <x:c r="Q68" s="18" t="str">
        <x:v>Very High</x:v>
      </x:c>
      <x:c r="R68" s="20" t="n">
        <x:v>0</x:v>
      </x:c>
      <x:c r="S68" s="20" t="str">
        <x:v>Identified</x:v>
      </x:c>
      <x:c r="T68" s="16" t="str"/>
      <x:c r="U68" s="16" t="str"/>
      <x:c r="V68" s="16" t="str">
        <x:v>Group row for regional modules; split later only if E9XSim needs those markets.</x:v>
      </x:c>
      <x:c r="W68" s="14" t="str">
        <x:v>https://www.scribd.com/document/672698702/System-Overview-of-Junction-Box-Electronics-E90-E91-E92-E93</x:v>
      </x:c>
      <x:c r="X68" s="14" t="str">
        <x:v>CNAV/JNAV/KNAV listed on MOST</x:v>
      </x:c>
      <x:c r="Y68" s="18" t="str">
        <x:v>High</x:v>
      </x:c>
    </x:row>
    <x:row r="69" ht="42" customHeight="1">
      <x:c r="A69" s="14" t="str">
        <x:v>M-EDCK</x:v>
      </x:c>
      <x:c r="B69" s="14" t="str">
        <x:v>EDC-K</x:v>
      </x:c>
      <x:c r="C69" s="14" t="str">
        <x:v>Electronic Damper Control - Continuous</x:v>
      </x:c>
      <x:c r="D69" s="18" t="str">
        <x:v>1</x:v>
      </x:c>
      <x:c r="E69" s="14" t="str">
        <x:v>Chassis ECU</x:v>
      </x:c>
      <x:c r="F69" s="14" t="str">
        <x:v>M chassis / damping</x:v>
      </x:c>
      <x:c r="G69" s="18" t="str">
        <x:v>M3 option</x:v>
      </x:c>
      <x:c r="H69" s="18" t="str">
        <x:v>No</x:v>
      </x:c>
      <x:c r="I69" s="18" t="str">
        <x:v>M3 option</x:v>
      </x:c>
      <x:c r="J69" s="18" t="str">
        <x:v>M3 option</x:v>
      </x:c>
      <x:c r="K69" s="14" t="str">
        <x:v>M3 with Electronic Damper Control.</x:v>
      </x:c>
      <x:c r="L69" s="14" t="str">
        <x:v>PT-CAN</x:v>
      </x:c>
      <x:c r="M69" s="14" t="str">
        <x:v>3 vertical acceleration sensors; damper valves</x:v>
      </x:c>
      <x:c r="N69" s="14" t="str">
        <x:v>Continuously controls damping based on chassis state and selected EDC mode.</x:v>
      </x:c>
      <x:c r="O69" s="18" t="str">
        <x:v>Critical</x:v>
      </x:c>
      <x:c r="P69" s="14" t="str">
        <x:v>Coding/calibration</x:v>
      </x:c>
      <x:c r="Q69" s="18" t="str">
        <x:v>Critical</x:v>
      </x:c>
      <x:c r="R69" s="20" t="n">
        <x:v>0</x:v>
      </x:c>
      <x:c r="S69" s="20" t="str">
        <x:v>Identified</x:v>
      </x:c>
      <x:c r="T69" s="16" t="str"/>
      <x:c r="U69" s="16" t="str"/>
      <x:c r="V69" s="16" t="str">
        <x:v>M-specific safety/dynamics controller; keep OEM for early platform work.</x:v>
      </x:c>
      <x:c r="W69" s="14" t="str">
        <x:v>https://bmwtechinfo.bmwgroup.com/tech_training_manual/ST709%204th%20Generation%20M3%20Complete%20Vehicle.pdf</x:v>
      </x:c>
      <x:c r="X69" s="14" t="str">
        <x:v>BMW M3 training: EDC-K uses PT-CAN and chassis sensor data</x:v>
      </x:c>
      <x:c r="Y69" s="18" t="str">
        <x:v>High</x:v>
      </x:c>
    </x:row>
    <x:row r="70" ht="42" customHeight="1">
      <x:c r="A70" s="14" t="str">
        <x:v>M-GWS</x:v>
      </x:c>
      <x:c r="B70" s="14" t="str">
        <x:v>GWS</x:v>
      </x:c>
      <x:c r="C70" s="14" t="str">
        <x:v>M DCT Gear Selector Switch</x:v>
      </x:c>
      <x:c r="D70" s="18" t="str">
        <x:v>1</x:v>
      </x:c>
      <x:c r="E70" s="14" t="str">
        <x:v>Input ECU</x:v>
      </x:c>
      <x:c r="F70" s="14" t="str">
        <x:v>M DCT</x:v>
      </x:c>
      <x:c r="G70" s="18" t="str">
        <x:v>No</x:v>
      </x:c>
      <x:c r="H70" s="18" t="str">
        <x:v>No</x:v>
      </x:c>
      <x:c r="I70" s="18" t="str">
        <x:v>M3/335is DCT</x:v>
      </x:c>
      <x:c r="J70" s="18" t="str">
        <x:v>M3 DCT</x:v>
      </x:c>
      <x:c r="K70" s="14" t="str">
        <x:v>DCT-equipped vehicles only.</x:v>
      </x:c>
      <x:c r="L70" s="14" t="str">
        <x:v>Local-CAN / LIN</x:v>
      </x:c>
      <x:c r="M70" s="14" t="str">
        <x:v>DKG/DKCGT local interface</x:v>
      </x:c>
      <x:c r="N70" s="14" t="str">
        <x:v>Electronic shift-selector input for dual-clutch transmission.</x:v>
      </x:c>
      <x:c r="O70" s="18" t="str">
        <x:v>High</x:v>
      </x:c>
      <x:c r="P70" s="14" t="str">
        <x:v>Coding/variant</x:v>
      </x:c>
      <x:c r="Q70" s="18" t="str">
        <x:v>High</x:v>
      </x:c>
      <x:c r="R70" s="20" t="n">
        <x:v>0</x:v>
      </x:c>
      <x:c r="S70" s="20" t="str">
        <x:v>Identified</x:v>
      </x:c>
      <x:c r="T70" s="16" t="str"/>
      <x:c r="U70" s="16" t="str"/>
      <x:c r="V70" s="16" t="str">
        <x:v>Keep separate from generic selector because M DCT architecture is distinct.</x:v>
      </x:c>
      <x:c r="W70" s="14" t="str">
        <x:v>https://bmwtechinfo.bmwgroup.com/tech_training_manual/ST709%204th%20Generation%20M3%20Complete%20Vehicle.pdf</x:v>
      </x:c>
      <x:c r="X70" s="14" t="str">
        <x:v>M DCT system bus overview</x:v>
      </x:c>
      <x:c r="Y70" s="18" t="str">
        <x:v>Medium</x:v>
      </x:c>
    </x:row>
    <x:row r="71" ht="42" customHeight="1">
      <x:c r="A71" s="14" t="str">
        <x:v>LOCAL-HVAC-FLAPS</x:v>
      </x:c>
      <x:c r="B71" s="14" t="str">
        <x:v>IHKA LIN Actuators</x:v>
      </x:c>
      <x:c r="C71" s="14" t="str">
        <x:v>HVAC Flap Motor Controllers</x:v>
      </x:c>
      <x:c r="D71" s="18" t="str">
        <x:v>Up to ~8</x:v>
      </x:c>
      <x:c r="E71" s="14" t="str">
        <x:v>LIN actuator nodes</x:v>
      </x:c>
      <x:c r="F71" s="14" t="str">
        <x:v>Climate</x:v>
      </x:c>
      <x:c r="G71" s="18" t="str">
        <x:v>Yes</x:v>
      </x:c>
      <x:c r="H71" s="18" t="str">
        <x:v>Yes</x:v>
      </x:c>
      <x:c r="I71" s="18" t="str">
        <x:v>Yes</x:v>
      </x:c>
      <x:c r="J71" s="18" t="str">
        <x:v>Yes</x:v>
      </x:c>
      <x:c r="K71" s="14" t="str">
        <x:v>BMW topology shows multiple LIN-connected HVAC actuators; exact count varies.</x:v>
      </x:c>
      <x:c r="L71" s="14" t="str">
        <x:v>LIN</x:v>
      </x:c>
      <x:c r="M71" s="14" t="str">
        <x:v>IHKA master; flap motor position feedback</x:v>
      </x:c>
      <x:c r="N71" s="14" t="str">
        <x:v>Position air-distribution/mixing flaps under IHKA command.</x:v>
      </x:c>
      <x:c r="O71" s="18" t="str">
        <x:v>Low</x:v>
      </x:c>
      <x:c r="P71" s="14" t="str">
        <x:v>None known</x:v>
      </x:c>
      <x:c r="Q71" s="18" t="str">
        <x:v>Moderate</x:v>
      </x:c>
      <x:c r="R71" s="20" t="n">
        <x:v>0</x:v>
      </x:c>
      <x:c r="S71" s="20" t="str">
        <x:v>Identified</x:v>
      </x:c>
      <x:c r="T71" s="16" t="str"/>
      <x:c r="U71" s="16" t="str"/>
      <x:c r="V71" s="16" t="str">
        <x:v>Good candidate for shared low-cost MCU/driver design if original actuators become unavailable.</x:v>
      </x:c>
      <x:c r="W71" s="14" t="str">
        <x:v>https://www.scribd.com/document/672698702/System-Overview-of-Junction-Box-Electronics-E90-E91-E92-E93</x:v>
      </x:c>
      <x:c r="X71" s="14" t="str">
        <x:v>IHKA LIN connection to flap motors</x:v>
      </x:c>
      <x:c r="Y71" s="18" t="str">
        <x:v>High</x:v>
      </x:c>
    </x:row>
    <x:row r="72" ht="42" customHeight="1">
      <x:c r="A72" s="14" t="str">
        <x:v>LOCAL-AUXHEAT</x:v>
      </x:c>
      <x:c r="B72" s="14" t="str">
        <x:v>EH / PTC</x:v>
      </x:c>
      <x:c r="C72" s="14" t="str">
        <x:v>Electric Auxiliary Heater Electronics</x:v>
      </x:c>
      <x:c r="D72" s="18" t="str">
        <x:v>1</x:v>
      </x:c>
      <x:c r="E72" s="14" t="str">
        <x:v>LIN actuator / power electronics</x:v>
      </x:c>
      <x:c r="F72" s="14" t="str">
        <x:v>Climate</x:v>
      </x:c>
      <x:c r="G72" s="18" t="str">
        <x:v>Diesel/option</x:v>
      </x:c>
      <x:c r="H72" s="18" t="str">
        <x:v>Diesel/option</x:v>
      </x:c>
      <x:c r="I72" s="18" t="str">
        <x:v>Diesel/option</x:v>
      </x:c>
      <x:c r="J72" s="18" t="str">
        <x:v>Diesel/option</x:v>
      </x:c>
      <x:c r="K72" s="14" t="str">
        <x:v>Equipment/engine dependent.</x:v>
      </x:c>
      <x:c r="L72" s="14" t="str">
        <x:v>LIN</x:v>
      </x:c>
      <x:c r="M72" s="14" t="str">
        <x:v>IHKA master; high-current heater stage</x:v>
      </x:c>
      <x:c r="N72" s="14" t="str">
        <x:v>Provides electric supplemental cabin heat under IHKA control.</x:v>
      </x:c>
      <x:c r="O72" s="18" t="str">
        <x:v>High</x:v>
      </x:c>
      <x:c r="P72" s="14" t="str">
        <x:v>None known</x:v>
      </x:c>
      <x:c r="Q72" s="18" t="str">
        <x:v>High</x:v>
      </x:c>
      <x:c r="R72" s="20" t="n">
        <x:v>0</x:v>
      </x:c>
      <x:c r="S72" s="20" t="str">
        <x:v>Identified</x:v>
      </x:c>
      <x:c r="T72" s="16" t="str"/>
      <x:c r="U72" s="16" t="str"/>
      <x:c r="V72" s="16" t="str">
        <x:v>Power electronics and thermal protection dominate full-replacement complexity.</x:v>
      </x:c>
      <x:c r="W72" s="14" t="str">
        <x:v>https://www.scribd.com/document/672698702/System-Overview-of-Junction-Box-Electronics-E90-E91-E92-E93</x:v>
      </x:c>
      <x:c r="X72" s="14" t="str">
        <x:v>IHKA LIN connection to electric auxiliary heater</x:v>
      </x:c>
      <x:c r="Y72" s="18" t="str">
        <x:v>High</x:v>
      </x:c>
    </x:row>
    <x:row r="73" ht="42" customHeight="1">
      <x:c r="A73" s="14" t="str">
        <x:v>INFO-FS</x:v>
      </x:c>
      <x:c r="B73" s="14" t="str">
        <x:v>FS</x:v>
      </x:c>
      <x:c r="C73" s="14" t="str">
        <x:v>MOST Direct Access / Service Port</x:v>
      </x:c>
      <x:c r="D73" s="18" t="str">
        <x:v>1</x:v>
      </x:c>
      <x:c r="E73" s="14" t="str">
        <x:v>Service point</x:v>
      </x:c>
      <x:c r="F73" s="14" t="str">
        <x:v>Diagnostics / infotainment</x:v>
      </x:c>
      <x:c r="G73" s="18" t="str">
        <x:v>Variant</x:v>
      </x:c>
      <x:c r="H73" s="18" t="str">
        <x:v>Variant</x:v>
      </x:c>
      <x:c r="I73" s="18" t="str">
        <x:v>Variant</x:v>
      </x:c>
      <x:c r="J73" s="18" t="str">
        <x:v>Variant</x:v>
      </x:c>
      <x:c r="K73" s="14" t="str">
        <x:v>Not an ECU; retained here because it matters when recreating/troubleshooting the MOST ring.</x:v>
      </x:c>
      <x:c r="L73" s="14" t="str">
        <x:v>MOST</x:v>
      </x:c>
      <x:c r="M73" s="14" t="str">
        <x:v>Optical service loop</x:v>
      </x:c>
      <x:c r="N73" s="14" t="str">
        <x:v>Allows direct/service access to the MOST fiber ring.</x:v>
      </x:c>
      <x:c r="O73" s="18" t="str">
        <x:v>Low</x:v>
      </x:c>
      <x:c r="P73" s="14" t="str">
        <x:v>None</x:v>
      </x:c>
      <x:c r="Q73" s="18" t="str">
        <x:v>Low</x:v>
      </x:c>
      <x:c r="R73" s="20" t="n">
        <x:v>0</x:v>
      </x:c>
      <x:c r="S73" s="20" t="str">
        <x:v>Identified</x:v>
      </x:c>
      <x:c r="T73" s="16" t="str"/>
      <x:c r="U73" s="16" t="str"/>
      <x:c r="V73" s="16" t="str">
        <x:v>This row is intentionally a non-ECU topology element.</x:v>
      </x:c>
      <x:c r="W73" s="14" t="str">
        <x:v>https://www.e92n55.com/wp-content/uploads/2016/08/pdf-bmw-e90-voltage-supply-bus-systems.pdf</x:v>
      </x:c>
      <x:c r="X73" s="14" t="str">
        <x:v>BMW glossary defines FS as MOST Direct Access</x:v>
      </x:c>
      <x:c r="Y73" s="18" t="str">
        <x:v>High</x:v>
      </x:c>
    </x:row>
  </x:sheetData>
  <x:conditionalFormatting sqref="R2:R73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5">
    <x:dataValidation type="list" sqref="O2:O322">
      <x:formula1>"Low,Medium,High,Critical"</x:formula1>
    </x:dataValidation>
    <x:dataValidation type="list" sqref="Q2:Q322">
      <x:formula1>"Low,Moderate,High,Very High,Critical,Unknown"</x:formula1>
    </x:dataValidation>
    <x:dataValidation type="list" sqref="R2:R322">
      <x:formula1>"0,1,2,3,4,5"</x:formula1>
    </x:dataValidation>
    <x:dataValidation type="list" sqref="S2:S322">
      <x:formula1>"Not researched,Identified,Capturing,Decoding,Bench emulated,Vehicle emulated,Replaced"</x:formula1>
    </x:dataValidation>
    <x:dataValidation type="list" sqref="Y2:Y322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4a9a23919240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7" hidden="0" customWidth="1"/>
    <x:col min="4" max="4" width="29" hidden="0" customWidth="1"/>
    <x:col min="5" max="5" width="10" hidden="0" customWidth="1"/>
  </x:cols>
  <x:sheetData>
    <x:row r="1" ht="28" customHeight="1">
      <x:c r="A1" s="24" t="str">
        <x:v>E9XSim — LCI Module Inventory Summary</x:v>
      </x:c>
      <x:c r="B1" s="24"/>
      <x:c r="C1" s="24"/>
      <x:c r="D1" s="24"/>
      <x:c r="E1" s="24"/>
      <x:c r="F1" s="24"/>
      <x:c r="G1" s="24"/>
      <x:c r="H1" s="24"/>
    </x:row>
    <x:row r="3">
      <x:c r="A3" s="29" t="str">
        <x:v>Metric</x:v>
      </x:c>
      <x:c r="B3" s="29" t="str">
        <x:v>Value</x:v>
      </x:c>
      <x:c r="D3" s="29" t="str">
        <x:v>System</x:v>
      </x:c>
      <x:c r="E3" s="29" t="str">
        <x:v>Count</x:v>
      </x:c>
    </x:row>
    <x:row r="4">
      <x:c r="A4" t="str">
        <x:v>Inventory rows</x:v>
      </x:c>
      <x:c r="B4" t="n">
        <x:f>COUNTA(Modules!A2:A73)</x:f>
        <x:v>72</x:v>
      </x:c>
      <x:c r="D4" t="str">
        <x:v>Access / convenience</x:v>
      </x:c>
      <x:c r="E4" t="n">
        <x:f>COUNTIF(Modules!F:F,D4)</x:f>
        <x:v>3</x:v>
      </x:c>
    </x:row>
    <x:row r="5">
      <x:c r="A5" t="str">
        <x:v>Identified rows</x:v>
      </x:c>
      <x:c r="B5" t="n">
        <x:f>COUNTIF(Modules!S2:S73,"Identified")</x:f>
        <x:v>72</x:v>
      </x:c>
      <x:c r="D5" t="str">
        <x:v>Access / immobilizer</x:v>
      </x:c>
      <x:c r="E5" t="n">
        <x:f>COUNTIF(Modules!F:F,D5)</x:f>
        <x:v>1</x:v>
      </x:c>
    </x:row>
    <x:row r="6">
      <x:c r="A6" t="str">
        <x:v>Replacement level ≥ 2</x:v>
      </x:c>
      <x:c r="B6" t="n">
        <x:f>COUNTIF(Modules!R2:R73,"&gt;=2")</x:f>
        <x:v>0</x:v>
      </x:c>
      <x:c r="D6" t="str">
        <x:v>Body / doors</x:v>
      </x:c>
      <x:c r="E6" t="n">
        <x:f>COUNTIF(Modules!F:F,D6)</x:f>
        <x:v>1</x:v>
      </x:c>
    </x:row>
    <x:row r="7">
      <x:c r="A7" t="str">
        <x:v>Replacement level ≥ 4</x:v>
      </x:c>
      <x:c r="B7" t="n">
        <x:f>COUNTIF(Modules!R2:R73,"&gt;=4")</x:f>
        <x:v>0</x:v>
      </x:c>
      <x:c r="D7" t="str">
        <x:v>Body / lighting</x:v>
      </x:c>
      <x:c r="E7" t="n">
        <x:f>COUNTIF(Modules!F:F,D7)</x:f>
        <x:v>1</x:v>
      </x:c>
    </x:row>
    <x:row r="8">
      <x:c r="A8" t="str">
        <x:v>Rows with selected hardware</x:v>
      </x:c>
      <x:c r="B8" t="n">
        <x:f>COUNTIF(Modules!T2:T73,"&lt;&gt;")</x:f>
        <x:v>72</x:v>
      </x:c>
      <x:c r="D8" t="str">
        <x:v>Body / mirrors</x:v>
      </x:c>
      <x:c r="E8" t="n">
        <x:f>COUNTIF(Modules!F:F,D8)</x:f>
        <x:v>2</x:v>
      </x:c>
    </x:row>
    <x:row r="9">
      <x:c r="D9" t="str">
        <x:v>Body / roof electronics</x:v>
      </x:c>
      <x:c r="E9" t="n">
        <x:f>COUNTIF(Modules!F:F,D9)</x:f>
        <x:v>1</x:v>
      </x:c>
    </x:row>
    <x:row r="10">
      <x:c r="D10" t="str">
        <x:v>Body / sensing</x:v>
      </x:c>
      <x:c r="E10" t="n">
        <x:f>COUNTIF(Modules!F:F,D10)</x:f>
        <x:v>1</x:v>
      </x:c>
    </x:row>
    <x:row r="11">
      <x:c r="A11" s="34" t="str">
        <x:v>Scope: seed/superset inventory for LCI-era E90/E91/E92/E93, emphasizing BMW late-9/2010 topology and relevant LCI transition modules. This is intentionally not a VIN-specific wiring diagram. Regional, engine, M3, xDrive, early-LCI and option-specific nodes are flagged in the fitment columns.</x:v>
      </x:c>
      <x:c r="B11" s="34"/>
      <x:c r="C11" s="34"/>
      <x:c r="D11" s="34" t="str">
        <x:v>Body / trailer</x:v>
      </x:c>
      <x:c r="E11" s="34" t="n">
        <x:f>COUNTIF(Modules!F:F,D11)</x:f>
        <x:v>1</x:v>
      </x:c>
      <x:c r="F11" s="34"/>
      <x:c r="G11" s="34"/>
      <x:c r="H11" s="34"/>
    </x:row>
    <x:row r="12">
      <x:c r="A12" s="34"/>
      <x:c r="B12" s="34"/>
      <x:c r="C12" s="34"/>
      <x:c r="D12" s="34" t="str">
        <x:v>Brakes &amp; stability</x:v>
      </x:c>
      <x:c r="E12" s="34" t="n">
        <x:f>COUNTIF(Modules!F:F,D12)</x:f>
        <x:v>1</x:v>
      </x:c>
      <x:c r="F12" s="34"/>
      <x:c r="G12" s="34"/>
      <x:c r="H12" s="34"/>
    </x:row>
    <x:row r="13">
      <x:c r="A13" s="34"/>
      <x:c r="B13" s="34"/>
      <x:c r="C13" s="34"/>
      <x:c r="D13" s="34" t="str">
        <x:v>Chassis / body</x:v>
      </x:c>
      <x:c r="E13" s="34" t="n">
        <x:f>COUNTIF(Modules!F:F,D13)</x:f>
        <x:v>1</x:v>
      </x:c>
      <x:c r="F13" s="34"/>
      <x:c r="G13" s="34"/>
      <x:c r="H13" s="34"/>
    </x:row>
    <x:row r="14">
      <x:c r="A14" s="34"/>
      <x:c r="B14" s="34"/>
      <x:c r="C14" s="34"/>
      <x:c r="D14" s="34" t="str">
        <x:v>Chassis sensing</x:v>
      </x:c>
      <x:c r="E14" s="34" t="n">
        <x:f>COUNTIF(Modules!F:F,D14)</x:f>
        <x:v>1</x:v>
      </x:c>
      <x:c r="F14" s="34"/>
      <x:c r="G14" s="34"/>
      <x:c r="H14" s="34"/>
    </x:row>
    <x:row r="15">
      <x:c r="D15" t="str">
        <x:v>Climate</x:v>
      </x:c>
      <x:c r="E15" t="n">
        <x:f>COUNTIF(Modules!F:F,D15)</x:f>
        <x:v>3</x:v>
      </x:c>
    </x:row>
    <x:row r="16">
      <x:c r="D16" t="str">
        <x:v>Convertible roof</x:v>
      </x:c>
      <x:c r="E16" t="n">
        <x:f>COUNTIF(Modules!F:F,D16)</x:f>
        <x:v>1</x:v>
      </x:c>
    </x:row>
    <x:row r="17">
      <x:c r="D17" t="str">
        <x:v>Cruise / dynamics</x:v>
      </x:c>
      <x:c r="E17" t="n">
        <x:f>COUNTIF(Modules!F:F,D17)</x:f>
        <x:v>1</x:v>
      </x:c>
    </x:row>
    <x:row r="18">
      <x:c r="D18" t="str">
        <x:v>Diagnostics / infotainment</x:v>
      </x:c>
      <x:c r="E18" t="n">
        <x:f>COUNTIF(Modules!F:F,D18)</x:f>
        <x:v>1</x:v>
      </x:c>
    </x:row>
    <x:row r="19">
      <x:c r="D19" t="str">
        <x:v>Diesel engine</x:v>
      </x:c>
      <x:c r="E19" t="n">
        <x:f>COUNTIF(Modules!F:F,D19)</x:f>
        <x:v>1</x:v>
      </x:c>
    </x:row>
    <x:row r="20">
      <x:c r="D20" t="str">
        <x:v>Driver assistance</x:v>
      </x:c>
      <x:c r="E20" t="n">
        <x:f>COUNTIF(Modules!F:F,D20)</x:f>
        <x:v>2</x:v>
      </x:c>
    </x:row>
    <x:row r="21">
      <x:c r="D21" t="str">
        <x:v>Driver information</x:v>
      </x:c>
      <x:c r="E21" t="n">
        <x:f>COUNTIF(Modules!F:F,D21)</x:f>
        <x:v>1</x:v>
      </x:c>
    </x:row>
    <x:row r="22">
      <x:c r="D22" t="str">
        <x:v>Engine</x:v>
      </x:c>
      <x:c r="E22" t="n">
        <x:f>COUNTIF(Modules!F:F,D22)</x:f>
        <x:v>2</x:v>
      </x:c>
    </x:row>
    <x:row r="23">
      <x:c r="D23" t="str">
        <x:v>Engine cooling</x:v>
      </x:c>
      <x:c r="E23" t="n">
        <x:f>COUNTIF(Modules!F:F,D23)</x:f>
        <x:v>1</x:v>
      </x:c>
    </x:row>
    <x:row r="24">
      <x:c r="D24" t="str">
        <x:v>Engine sensing</x:v>
      </x:c>
      <x:c r="E24" t="n">
        <x:f>COUNTIF(Modules!F:F,D24)</x:f>
        <x:v>1</x:v>
      </x:c>
    </x:row>
    <x:row r="25">
      <x:c r="D25" t="str">
        <x:v>Fuel system</x:v>
      </x:c>
      <x:c r="E25" t="n">
        <x:f>COUNTIF(Modules!F:F,D25)</x:f>
        <x:v>1</x:v>
      </x:c>
    </x:row>
    <x:row r="26">
      <x:c r="D26" t="str">
        <x:v>Gateway &amp; power distribution</x:v>
      </x:c>
      <x:c r="E26" t="n">
        <x:f>COUNTIF(Modules!F:F,D26)</x:f>
        <x:v>1</x:v>
      </x:c>
    </x:row>
    <x:row r="27">
      <x:c r="D27" t="str">
        <x:v>Infotainment</x:v>
      </x:c>
      <x:c r="E27" t="n">
        <x:f>COUNTIF(Modules!F:F,D27)</x:f>
        <x:v>13</x:v>
      </x:c>
    </x:row>
    <x:row r="28">
      <x:c r="D28" t="str">
        <x:v>Infotainment / telematics</x:v>
      </x:c>
      <x:c r="E28" t="n">
        <x:f>COUNTIF(Modules!F:F,D28)</x:f>
        <x:v>2</x:v>
      </x:c>
    </x:row>
    <x:row r="29">
      <x:c r="D29" t="str">
        <x:v>Infotainment / telephony</x:v>
      </x:c>
      <x:c r="E29" t="n">
        <x:f>COUNTIF(Modules!F:F,D29)</x:f>
        <x:v>1</x:v>
      </x:c>
    </x:row>
    <x:row r="30">
      <x:c r="D30" t="str">
        <x:v>Lighting</x:v>
      </x:c>
      <x:c r="E30" t="n">
        <x:f>COUNTIF(Modules!F:F,D30)</x:f>
        <x:v>2</x:v>
      </x:c>
    </x:row>
    <x:row r="31">
      <x:c r="D31" t="str">
        <x:v>M DCT</x:v>
      </x:c>
      <x:c r="E31" t="n">
        <x:f>COUNTIF(Modules!F:F,D31)</x:f>
        <x:v>1</x:v>
      </x:c>
    </x:row>
    <x:row r="32">
      <x:c r="D32" t="str">
        <x:v>M chassis / damping</x:v>
      </x:c>
      <x:c r="E32" t="n">
        <x:f>COUNTIF(Modules!F:F,D32)</x:f>
        <x:v>1</x:v>
      </x:c>
    </x:row>
    <x:row r="33">
      <x:c r="D33" t="str">
        <x:v>Parking</x:v>
      </x:c>
      <x:c r="E33" t="n">
        <x:f>COUNTIF(Modules!F:F,D33)</x:f>
        <x:v>1</x:v>
      </x:c>
    </x:row>
    <x:row r="34">
      <x:c r="D34" t="str">
        <x:v>Power management</x:v>
      </x:c>
      <x:c r="E34" t="n">
        <x:f>COUNTIF(Modules!F:F,D34)</x:f>
        <x:v>2</x:v>
      </x:c>
    </x:row>
    <x:row r="35">
      <x:c r="D35" t="str">
        <x:v>Restraints</x:v>
      </x:c>
      <x:c r="E35" t="n">
        <x:f>COUNTIF(Modules!F:F,D35)</x:f>
        <x:v>3</x:v>
      </x:c>
    </x:row>
    <x:row r="36">
      <x:c r="D36" t="str">
        <x:v>Restraints / rollover</x:v>
      </x:c>
      <x:c r="E36" t="n">
        <x:f>COUNTIF(Modules!F:F,D36)</x:f>
        <x:v>1</x:v>
      </x:c>
    </x:row>
    <x:row r="37">
      <x:c r="D37" t="str">
        <x:v>Roof</x:v>
      </x:c>
      <x:c r="E37" t="n">
        <x:f>COUNTIF(Modules!F:F,D37)</x:f>
        <x:v>1</x:v>
      </x:c>
    </x:row>
    <x:row r="38">
      <x:c r="D38" t="str">
        <x:v>Seat belts</x:v>
      </x:c>
      <x:c r="E38" t="n">
        <x:f>COUNTIF(Modules!F:F,D38)</x:f>
        <x:v>2</x:v>
      </x:c>
    </x:row>
    <x:row r="39">
      <x:c r="D39" t="str">
        <x:v>Seats</x:v>
      </x:c>
      <x:c r="E39" t="n">
        <x:f>COUNTIF(Modules!F:F,D39)</x:f>
        <x:v>2</x:v>
      </x:c>
    </x:row>
    <x:row r="40">
      <x:c r="D40" t="str">
        <x:v>Security</x:v>
      </x:c>
      <x:c r="E40" t="n">
        <x:f>COUNTIF(Modules!F:F,D40)</x:f>
        <x:v>3</x:v>
      </x:c>
    </x:row>
    <x:row r="41">
      <x:c r="D41" t="str">
        <x:v>Steering</x:v>
      </x:c>
      <x:c r="E41" t="n">
        <x:f>COUNTIF(Modules!F:F,D41)</x:f>
        <x:v>1</x:v>
      </x:c>
    </x:row>
    <x:row r="42">
      <x:c r="D42" t="str">
        <x:v>Steering / chassis sensing</x:v>
      </x:c>
      <x:c r="E42" t="n">
        <x:f>COUNTIF(Modules!F:F,D42)</x:f>
        <x:v>1</x:v>
      </x:c>
    </x:row>
    <x:row r="43">
      <x:c r="D43" t="str">
        <x:v>Steering / driver inputs</x:v>
      </x:c>
      <x:c r="E43" t="n">
        <x:f>COUNTIF(Modules!F:F,D43)</x:f>
        <x:v>1</x:v>
      </x:c>
    </x:row>
    <x:row r="44">
      <x:c r="D44" t="str">
        <x:v>Transmission</x:v>
      </x:c>
      <x:c r="E44" t="n">
        <x:f>COUNTIF(Modules!F:F,D44)</x:f>
        <x:v>3</x:v>
      </x:c>
    </x:row>
    <x:row r="45">
      <x:c r="D45" t="str">
        <x:v>xDrive</x:v>
      </x:c>
      <x:c r="E45" t="n">
        <x:f>COUNTIF(Modules!F:F,D45)</x:f>
        <x:v>1</x:v>
      </x:c>
    </x:row>
  </x:sheetData>
  <x:mergeCells>
    <x:mergeCell ref="A1:H1"/>
    <x:mergeCell ref="A11:H14"/>
  </x:mergeCells>
  <x:pageMargins left="0.7" right="0.7" top="0.75" bottom="0.75" header="0.3" footer="0.3"/>
  <x:drawing xmlns:r="http://schemas.openxmlformats.org/officeDocument/2006/relationships" r:id="Re0679d7ee1214be0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3" max="3" width="60" hidden="0" customWidth="1"/>
    <x:col min="5" max="5" width="24" hidden="0" customWidth="1"/>
    <x:col min="7" max="7" width="24" hidden="0" customWidth="1"/>
  </x:cols>
  <x:sheetData>
    <x:row r="1">
      <x:c r="A1" s="4" t="str">
        <x:v>Status</x:v>
      </x:c>
      <x:c r="B1" s="12"/>
      <x:c r="C1" s="4" t="str">
        <x:v>Replacement level</x:v>
      </x:c>
      <x:c r="D1" s="12"/>
      <x:c r="E1" s="4" t="str">
        <x:v>Difficulty</x:v>
      </x:c>
      <x:c r="F1" s="12"/>
      <x:c r="G1" s="4" t="str">
        <x:v>Confidence</x:v>
      </x:c>
      <x:c r="H1" s="12"/>
    </x:row>
    <x:row r="2">
      <x:c r="A2" s="12" t="str">
        <x:v>Not researched</x:v>
      </x:c>
      <x:c r="B2" s="12"/>
      <x:c r="C2" s="12" t="str">
        <x:v>0 — Unknown / untouched</x:v>
      </x:c>
      <x:c r="D2" s="12"/>
      <x:c r="E2" s="12" t="str">
        <x:v>Low</x:v>
      </x:c>
      <x:c r="F2" s="12"/>
      <x:c r="G2" s="12" t="str">
        <x:v>High</x:v>
      </x:c>
      <x:c r="H2" s="12"/>
    </x:row>
    <x:row r="3">
      <x:c r="A3" s="12" t="str">
        <x:v>Identified</x:v>
      </x:c>
      <x:c r="B3" s="12"/>
      <x:c r="C3" s="12" t="str">
        <x:v>1 — Passive observation understood</x:v>
      </x:c>
      <x:c r="D3" s="12"/>
      <x:c r="E3" s="12" t="str">
        <x:v>Moderate</x:v>
      </x:c>
      <x:c r="F3" s="12"/>
      <x:c r="G3" s="12" t="str">
        <x:v>Medium</x:v>
      </x:c>
      <x:c r="H3" s="12"/>
    </x:row>
    <x:row r="4">
      <x:c r="A4" s="12" t="str">
        <x:v>Capturing</x:v>
      </x:c>
      <x:c r="B4" s="12"/>
      <x:c r="C4" s="12" t="str">
        <x:v>2 — Network identity can be emulated</x:v>
      </x:c>
      <x:c r="D4" s="12"/>
      <x:c r="E4" s="12" t="str">
        <x:v>High</x:v>
      </x:c>
      <x:c r="F4" s="12"/>
      <x:c r="G4" s="12" t="str">
        <x:v>Low</x:v>
      </x:c>
      <x:c r="H4" s="12"/>
    </x:row>
    <x:row r="5">
      <x:c r="A5" s="12" t="str">
        <x:v>Decoding</x:v>
      </x:c>
      <x:c r="B5" s="12"/>
      <x:c r="C5" s="12" t="str">
        <x:v>3 — Network behavior can be functionally emulated</x:v>
      </x:c>
      <x:c r="D5" s="12"/>
      <x:c r="E5" s="12" t="str">
        <x:v>Very High</x:v>
      </x:c>
      <x:c r="F5" s="12"/>
      <x:c r="G5" s="12"/>
      <x:c r="H5" s="12"/>
    </x:row>
    <x:row r="6">
      <x:c r="A6" s="12" t="str">
        <x:v>Bench emulated</x:v>
      </x:c>
      <x:c r="B6" s="12"/>
      <x:c r="C6" s="12" t="str">
        <x:v>4 — OEM ECU removable; replacement performs required I/O + network behavior</x:v>
      </x:c>
      <x:c r="D6" s="12"/>
      <x:c r="E6" s="12" t="str">
        <x:v>Critical</x:v>
      </x:c>
      <x:c r="F6" s="12"/>
      <x:c r="G6" s="12"/>
      <x:c r="H6" s="12"/>
    </x:row>
    <x:row r="7">
      <x:c r="A7" s="12" t="str">
        <x:v>Vehicle emulated</x:v>
      </x:c>
      <x:c r="B7" s="12"/>
      <x:c r="C7" s="12" t="str">
        <x:v>5 — Drop-in open replacement incl. connectors/I/O/diagnostics/coding</x:v>
      </x:c>
      <x:c r="D7" s="12"/>
      <x:c r="E7" s="12" t="str">
        <x:v>Unknown</x:v>
      </x:c>
      <x:c r="F7" s="12"/>
      <x:c r="G7" s="12"/>
      <x:c r="H7" s="12"/>
    </x:row>
    <x:row r="8">
      <x:c r="A8" s="12" t="str">
        <x:v>Replaced</x:v>
      </x:c>
      <x:c r="B8" s="12"/>
      <x:c r="C8" s="12"/>
      <x:c r="D8" s="12"/>
      <x:c r="E8" s="12"/>
      <x:c r="F8" s="12"/>
      <x:c r="G8" s="12"/>
      <x:c r="H8" s="12"/>
    </x:row>
    <x:row r="9">
      <x:c r="A9" s="12"/>
      <x:c r="B9" s="12"/>
      <x:c r="C9" s="12"/>
      <x:c r="D9" s="12"/>
      <x:c r="E9" s="12"/>
      <x:c r="F9" s="12"/>
      <x:c r="G9" s="12"/>
      <x:c r="H9" s="12"/>
    </x:row>
    <x:row r="10">
      <x:c r="A10" s="12"/>
      <x:c r="B10" s="12"/>
      <x:c r="C10" s="12"/>
      <x:c r="D10" s="12"/>
      <x:c r="E10" s="12"/>
      <x:c r="F10" s="12"/>
      <x:c r="G10" s="12"/>
      <x:c r="H10" s="12"/>
    </x:row>
    <x:row r="11">
      <x:c r="A11" s="12"/>
      <x:c r="B11" s="12"/>
      <x:c r="C11" s="12"/>
      <x:c r="D11" s="12"/>
      <x:c r="E11" s="12"/>
      <x:c r="F11" s="12"/>
      <x:c r="G11" s="12"/>
      <x:c r="H11" s="12"/>
    </x:row>
    <x:row r="12">
      <x:c r="A12" s="12"/>
      <x:c r="B12" s="12"/>
      <x:c r="C12" s="12"/>
      <x:c r="D12" s="12"/>
      <x:c r="E12" s="12"/>
      <x:c r="F12" s="12"/>
      <x:c r="G12" s="12"/>
      <x:c r="H12" s="12"/>
    </x:row>
    <x:row r="13">
      <x:c r="A13" s="12"/>
      <x:c r="B13" s="12"/>
      <x:c r="C13" s="12"/>
      <x:c r="D13" s="12"/>
      <x:c r="E13" s="12"/>
      <x:c r="F13" s="12"/>
      <x:c r="G13" s="12"/>
      <x:c r="H13" s="12"/>
    </x:row>
    <x:row r="14">
      <x:c r="A14" s="12"/>
      <x:c r="B14" s="12"/>
      <x:c r="C14" s="12"/>
      <x:c r="D14" s="12"/>
      <x:c r="E14" s="12"/>
      <x:c r="F14" s="12"/>
      <x:c r="G14" s="12"/>
      <x:c r="H14" s="12"/>
    </x:row>
    <x:row r="15">
      <x:c r="A15" s="12"/>
      <x:c r="B15" s="12"/>
      <x:c r="C15" s="12"/>
      <x:c r="D15" s="12"/>
      <x:c r="E15" s="12"/>
      <x:c r="F15" s="12"/>
      <x:c r="G15" s="12"/>
      <x:c r="H15" s="12"/>
    </x:row>
    <x:row r="16">
      <x:c r="A16" s="12"/>
      <x:c r="B16" s="12"/>
      <x:c r="C16" s="12"/>
      <x:c r="D16" s="12"/>
      <x:c r="E16" s="12"/>
      <x:c r="F16" s="12"/>
      <x:c r="G16" s="12"/>
      <x:c r="H16" s="12"/>
    </x:row>
    <x:row r="17">
      <x:c r="A17" s="12"/>
      <x:c r="B17" s="12"/>
      <x:c r="C17" s="12"/>
      <x:c r="D17" s="12"/>
      <x:c r="E17" s="12"/>
      <x:c r="F17" s="12"/>
      <x:c r="G17" s="12"/>
      <x:c r="H17" s="12"/>
    </x:row>
    <x:row r="18">
      <x:c r="A18" s="12"/>
      <x:c r="B18" s="12"/>
      <x:c r="C18" s="12"/>
      <x:c r="D18" s="12"/>
      <x:c r="E18" s="12"/>
      <x:c r="F18" s="12"/>
      <x:c r="G18" s="12"/>
      <x:c r="H18" s="12"/>
    </x:row>
    <x:row r="19">
      <x:c r="A19" s="12"/>
      <x:c r="B19" s="12"/>
      <x:c r="C19" s="12"/>
      <x:c r="D19" s="12"/>
      <x:c r="E19" s="12"/>
      <x:c r="F19" s="12"/>
      <x:c r="G19" s="12"/>
      <x:c r="H19" s="12"/>
    </x:row>
    <x:row r="20">
      <x:c r="A20" s="12"/>
      <x:c r="B20" s="12"/>
      <x:c r="C20" s="12"/>
      <x:c r="D20" s="12"/>
      <x:c r="E20" s="12"/>
      <x:c r="F20" s="12"/>
      <x:c r="G20" s="12"/>
      <x:c r="H2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0" hidden="0" customWidth="1"/>
    <x:col min="3" max="3" width="82" hidden="0" customWidth="1"/>
    <x:col min="4" max="4" width="48" hidden="0" customWidth="1"/>
  </x:cols>
  <x:sheetData>
    <x:row r="1">
      <x:c r="A1" s="4" t="str">
        <x:v>Source ID</x:v>
      </x:c>
      <x:c r="B1" s="4" t="str">
        <x:v>Description</x:v>
      </x:c>
      <x:c r="C1" s="4" t="str">
        <x:v>URL</x:v>
      </x:c>
      <x:c r="D1" s="4" t="str">
        <x:v>Use in workbook</x:v>
      </x:c>
    </x:row>
    <x:row r="2">
      <x:c r="A2" s="12" t="str">
        <x:v>BMW-ST401b</x:v>
      </x:c>
      <x:c r="B2" s="12" t="str">
        <x:v>BMW Technical Training — Bus System Overview, including E90/E91/E92/E93 late topology</x:v>
      </x:c>
      <x:c r="C2" s="12" t="str">
        <x:v>https://bmwrepairguide.com/virtual-library/technical-training/ST401b%20Bus%20System%20Overview.pdf</x:v>
      </x:c>
      <x:c r="D2" s="12" t="str">
        <x:v>Primary late-LCI topology/module seed</x:v>
      </x:c>
    </x:row>
    <x:row r="3">
      <x:c r="A3" s="12" t="str">
        <x:v>BMW-JBE-OVERVIEW</x:v>
      </x:c>
      <x:c r="B3" s="12" t="str">
        <x:v>BMW/TIS-style Junction Box Electronics system overview for E90/E91/E92/E93</x:v>
      </x:c>
      <x:c r="C3" s="12" t="str">
        <x:v>https://www.scribd.com/document/672698702/System-Overview-of-Junction-Box-Electronics-E90-E91-E92-E93</x:v>
      </x:c>
      <x:c r="D3" s="12" t="str">
        <x:v>Detailed bus membership and module descriptions</x:v>
      </x:c>
    </x:row>
    <x:row r="4">
      <x:c r="A4" s="12" t="str">
        <x:v>BMW-E90-BUS</x:v>
      </x:c>
      <x:c r="B4" s="12" t="str">
        <x:v>BMW E90 Voltage Supply &amp; Bus Systems training material</x:v>
      </x:c>
      <x:c r="C4" s="12" t="str">
        <x:v>https://www.e92n55.com/wp-content/uploads/2016/08/pdf-bmw-e90-voltage-supply-bus-systems.pdf</x:v>
      </x:c>
      <x:c r="D4" s="12" t="str">
        <x:v>Bus definitions, MOST behavior, module glossary</x:v>
      </x:c>
    </x:row>
    <x:row r="5">
      <x:c r="A5" s="12" t="str">
        <x:v>BMW-ACTIVE-STEERING</x:v>
      </x:c>
      <x:c r="B5" s="12" t="str">
        <x:v>BMW Active Steering service description</x:v>
      </x:c>
      <x:c r="C5" s="12" t="str">
        <x:v>https://charm.li/BMW/2009/328i%20Sedan%20%28E90%29%20L6-3.0L%20%28N52K%29/Repair%20and%20Diagnosis/Steering%20and%20Suspension/Steering/Description%20and%20Operation/Active%20Steering/</x:v>
      </x:c>
      <x:c r="D5" s="12" t="str">
        <x:v>AL/AFS network and function</x:v>
      </x:c>
    </x:row>
    <x:row r="6">
      <x:c r="A6" s="12" t="str">
        <x:v>BMW-E93</x:v>
      </x:c>
      <x:c r="B6" s="12" t="str">
        <x:v>BMW E93 Complete Vehicle / Electronic Systems training</x:v>
      </x:c>
      <x:c r="C6" s="12" t="str">
        <x:v>https://bmwrepairguide.com/virtual-library/technical-training/ST714-E93-Complete-Vehicle.pdf</x:v>
      </x:c>
      <x:c r="D6" s="12" t="str">
        <x:v>ACSM, ROC, CTM and E93-specific architecture</x:v>
      </x:c>
    </x:row>
    <x:row r="7">
      <x:c r="A7" s="12" t="str">
        <x:v>BMW-M3</x:v>
      </x:c>
      <x:c r="B7" s="12" t="str">
        <x:v>BMW 4th Generation M3 / M-DCT training</x:v>
      </x:c>
      <x:c r="C7" s="12" t="str">
        <x:v>https://bmwtechinfo.bmwgroup.com/tech_training_manual/ST709%204th%20Generation%20M3%20Complete%20Vehicle.pdf</x:v>
      </x:c>
      <x:c r="D7" s="12" t="str">
        <x:v>EDC-K and M-specific nodes</x:v>
      </x:c>
    </x:row>
    <x:row r="8">
      <x:c r="A8" s="12" t="str">
        <x:v>BMW-SIB-CAN</x:v>
      </x:c>
      <x:c r="B8" s="12" t="str">
        <x:v>BMW CAN/Byteflight diagnosis SIB</x:v>
      </x:c>
      <x:c r="C8" s="12" t="str">
        <x:v>https://bmwrepairguide.com/sib/610303.pdf</x:v>
      </x:c>
      <x:c r="D8" s="12" t="str">
        <x:v>F-CAN/PT-CAN termination and SZL/DSC topology</x:v>
      </x:c>
    </x:row>
    <x:row r="9">
      <x:c r="A9" s="12" t="str">
        <x:v>OPENDDBC-E9X</x:v>
      </x:c>
      <x:c r="B9" s="12" t="str">
        <x:v>Community E8x/E9x DBC project</x:v>
      </x:c>
      <x:c r="C9" s="12" t="str">
        <x:v>https://github.com/bmwcd/opendbc-BMW-E8x-E9x</x:v>
      </x:c>
      <x:c r="D9" s="12" t="str">
        <x:v>Future reverse-engineering cross-check; not treated as a primary OEM source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 ht="28" customHeight="1">
      <x:c r="A1" s="40" t="str">
        <x:v>E9XSim LCI Modules Workbook</x:v>
      </x:c>
    </x:row>
    <x:row r="2" ht="28" customHeight="1">
      <x:c r="A2" s="12" t="str"/>
    </x:row>
    <x:row r="3" ht="28" customHeight="1">
      <x:c r="A3" s="41" t="str">
        <x:v>Purpose</x:v>
      </x:c>
    </x:row>
    <x:row r="4" ht="28" customHeight="1">
      <x:c r="A4" s="12" t="str">
        <x:v>Development inventory for identifying the electronic modules/nodes used across LCI-era BMW E9X vehicles, their network placement, major function, replacement difficulty and eventual E9XSim hardware choice.</x:v>
      </x:c>
    </x:row>
    <x:row r="5" ht="28" customHeight="1">
      <x:c r="A5" s="12" t="str"/>
    </x:row>
    <x:row r="6" ht="28" customHeight="1">
      <x:c r="A6" s="41" t="str">
        <x:v>Important scope note</x:v>
      </x:c>
    </x:row>
    <x:row r="7" ht="28" customHeight="1">
      <x:c r="A7" s="12" t="str">
        <x:v>This is a superset seed list, not a VIN-specific wiring diagram. BMW option, body, market, engine and production-date changes mean no single car contains every row. The late-9/2010 BMW bus charts are used as the main LCI baseline, with earlier-LCI transition modules and additional TIS/JBE/M3/E93 nodes included where useful.</x:v>
      </x:c>
    </x:row>
    <x:row r="8" ht="28" customHeight="1">
      <x:c r="A8" s="12" t="str"/>
    </x:row>
    <x:row r="9" ht="28" customHeight="1">
      <x:c r="A9" s="41" t="str">
        <x:v>Selected Replacement Hardware(s)</x:v>
      </x:c>
    </x:row>
    <x:row r="10" ht="28" customHeight="1">
      <x:c r="A10" s="12" t="str">
        <x:v>This is intentionally left blank and highlighted yellow on the Modules sheet. Use it for actual chosen SOMs, MCUs, CAN/LIN transceivers, power-stage boards, FPGA modules, DSPs, etc. Multiple devices can be entered in the same cell.</x:v>
      </x:c>
    </x:row>
    <x:row r="11" ht="28" customHeight="1">
      <x:c r="A11" s="12" t="str"/>
    </x:row>
    <x:row r="12" ht="28" customHeight="1">
      <x:c r="A12" s="41" t="str">
        <x:v>Replacement Level</x:v>
      </x:c>
    </x:row>
    <x:row r="13" ht="28" customHeight="1">
      <x:c r="A13" s="12" t="str">
        <x:v>0 = unknown; 1 = passive observation understood; 2 = network identity emulated; 3 = network behavior functionally emulated; 4 = OEM ECU removable and replacement supplies required electrical/network function; 5 = drop-in open replacement.</x:v>
      </x:c>
    </x:row>
    <x:row r="14" ht="28" customHeight="1">
      <x:c r="A14" s="12" t="str"/>
    </x:row>
    <x:row r="15" ht="28" customHeight="1">
      <x:c r="A15" s="41" t="str">
        <x:v>Suggested next step</x:v>
      </x:c>
    </x:row>
    <x:row r="16" ht="28" customHeight="1">
      <x:c r="A16" s="12" t="str">
        <x:v>Once a reference VIN/configuration is chosen, add a VIN-specific sheet and mark which rows are physically present. Then create a separate Interfaces table with one row per module-interface (K-CAN/PT-CAN/F-CAN/MOST/LIN/BSD/hardwired).</x:v>
      </x:c>
    </x:row>
  </x:sheetData>
  <x:pageMargins left="0.7" right="0.7" top="0.75" bottom="0.75" header="0.3" footer="0.3"/>
</x:worksheet>
</file>